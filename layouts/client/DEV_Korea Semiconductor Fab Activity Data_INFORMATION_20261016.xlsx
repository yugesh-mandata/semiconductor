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4"/>
    <sheet state="visible" name="FT_LIST_ZONE" sheetId="2" r:id="rId5"/>
    <sheet state="visible" name="ZONE_LINEAGE_MASTER" sheetId="3" r:id="rId6"/>
    <sheet state="visible" name="FT_PRESENCE_HOURLY" sheetId="4" r:id="rId7"/>
    <sheet state="visible" name="FT_DWELL_DAILY" sheetId="5" r:id="rId8"/>
    <sheet state="visible" name="FT_MOVEMENT_OD_DAILY" sheetId="6" r:id="rId9"/>
    <sheet state="visible" name="FT_METRICS_DAILY" sheetId="7" r:id="rId10"/>
  </sheets>
  <definedNames/>
  <calcPr/>
  <extLst>
    <ext uri="GoogleSheetsCustomDataVersion2">
      <go:sheetsCustomData xmlns:go="http://customooxmlschemas.google.com/" r:id="rId11" roundtripDataChecksum="FSejMwefMYlI0PHMGCdkMudFGM8qSoQZdYzp/fpkyU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ID#AAACI2MJR8k
Yugesh KC    (2026-10-16 12:56:49)
Not reviewed, ai used.</t>
      </text>
    </comment>
  </commentList>
  <extLst>
    <ext uri="GoogleSheetsCustomDataVersion2">
      <go:sheetsCustomData xmlns:go="http://customooxmlschemas.google.com/" r:id="rId1" roundtripDataSignature="AMtx7mh/4Ik/fmOtp+m5g0Ps7U/o5eXsOA=="/>
    </ext>
  </extLst>
</comments>
</file>

<file path=xl/sharedStrings.xml><?xml version="1.0" encoding="utf-8"?>
<sst xmlns="http://schemas.openxmlformats.org/spreadsheetml/2006/main" count="1209" uniqueCount="541">
  <si>
    <t>Korea Semiconductor Fab Activity Data</t>
  </si>
  <si>
    <t>Version: 20261016</t>
  </si>
  <si>
    <t>[Introduction]</t>
  </si>
  <si>
    <t>Change priority</t>
  </si>
  <si>
    <t>Change summary</t>
  </si>
  <si>
    <t>Dataset name</t>
  </si>
  <si>
    <t>Korea Semiconductor Fab Activity Signal</t>
  </si>
  <si>
    <t>Data design &amp; maintenance provider</t>
  </si>
  <si>
    <t>Mandata Corporation ('MD')</t>
  </si>
  <si>
    <t>Key methodology and metrics</t>
  </si>
  <si>
    <t>- Raw data files → FT metrics → Investment metrics
- MD divides all FT data into two types:
    - Instant: a snapshot of people present at a single point in time (e.g. hourly presence)
    - Interval: activity measured over a span of time (e.g. dwell duration, origin–destination movement)</t>
  </si>
  <si>
    <t>Mid</t>
  </si>
  <si>
    <t>Rewrote the data flow as Raw data files → FT metrics → Investment metrics; fixed grammar; added definitions of instant and interval data.</t>
  </si>
  <si>
    <t>Major data source</t>
  </si>
  <si>
    <t>Powered by KT Corporation (mobile-network population data)</t>
  </si>
  <si>
    <t>Data gathering process</t>
  </si>
  <si>
    <t>KT-processed mobility data + MD's zone mapping, standardization and enrichment.</t>
  </si>
  <si>
    <t>What it measures</t>
  </si>
  <si>
    <t>- Physical activity observed within Mandata analysis zones inside semiconductor campuses:
    - Presence: people on site at a point in time
    - Dwell: how long they stay
    - Movement: where they travel from
- A proxy for fab operating and expansion activity
- NOT official production output</t>
  </si>
  <si>
    <t>High</t>
  </si>
  <si>
    <t>Corrected wording: activity is observed in Mandata analysis zones inside campuses (per Notion zone docs); split into bullets; removed the duplicate instant/interval sentence.</t>
  </si>
  <si>
    <t>Ticker / fab coverage</t>
  </si>
  <si>
    <t>- SK Hynix Inc (000660, ISIN KR7000660001): 3 campuses
- Samsung Electronics Co Ltd (005930, ISIN KR7005930003): 5 campuses</t>
  </si>
  <si>
    <t>Low</t>
  </si>
  <si>
    <t>Reformatted as one bullet per company; added Samsung ticker 005930 for consistency.</t>
  </si>
  <si>
    <t>Source signal</t>
  </si>
  <si>
    <t>LTE/5G signal + CDR at base stations, augmented with GPS / MDT (GNSS)</t>
  </si>
  <si>
    <t>Panel &amp; scale-up (TBD)</t>
  </si>
  <si>
    <t>- Panel: KT mobile subscribers
- Grossed up to total population in 4 steps:
    1. Market-share inverse
    2. LTE/5G subscription rate
    3. Phone-on ratio
    4. Resident-registration calibration</t>
  </si>
  <si>
    <t>Reformatted the 4-step gross-up as a bulleted, numbered list (wording unchanged).</t>
  </si>
  <si>
    <t>[Data coverage and frequencies]</t>
  </si>
  <si>
    <t>Locational taxonomy</t>
  </si>
  <si>
    <t>Overall structure</t>
  </si>
  <si>
    <t>Company &gt; Campus &gt; Campus division (CD) &gt; Zone (OP / EX / Others)</t>
  </si>
  <si>
    <t>Taxonomy changed to Company &gt; Campus &gt; Campus division (CD) &gt; Zone (OP / EX / Others), per Notion 'How to classify a zone'; fixed 'strucuture' typo.</t>
  </si>
  <si>
    <t>Company and Campus</t>
  </si>
  <si>
    <t>- Campuses with memory production; standalone HQ and R&amp;D sites are excluded
- R&amp;D, offices and amenities inside a campus are covered as Others</t>
  </si>
  <si>
    <t>Clarified scope: standalone HQ and R&amp;D sites excluded; R&amp;D, offices and amenities inside a campus are covered as Others.</t>
  </si>
  <si>
    <t>Campus division (CD)</t>
  </si>
  <si>
    <t>A contiguous area within a campus, bounded by public infrastructure such as public roads (e.g. a parking lot across a public road is its own CD). Contains its OP, EX and Others zones.</t>
  </si>
  <si>
    <t>Row now defines Campus division (CD), replacing Production Unit (moved to row 20).</t>
  </si>
  <si>
    <t>Zone</t>
  </si>
  <si>
    <t>- OP (Operation): an existing building in operation where semiconductors are fabricated, or packaged and tested
- EX (Expansion): land or buildings where new production capacity is being built (new fabs, cleanrooms, equipment installation and commissioning)
- Others: everything in a CD that is neither OP nor EX (R&amp;D, offices, parking, amenities); calculated as CD − OP − EX, not drawn
- Zone is the key value of this dataset</t>
  </si>
  <si>
    <t>Row now defines Zone with OP / EX / Others, replacing Fab (Fab is now a production-unit type).</t>
  </si>
  <si>
    <t>Production Unit</t>
  </si>
  <si>
    <t>- Assigned to OP zones only; each OP zone covers one facility
- Types:
    - FRONT_END_FAB: front-end fabrication facility
    - PACKAGING_TEST: package and test facility
    - MIXED: one footprint holding both fab and package-and-test lines
    - UNKNOWN: confirmed production facility whose type can't be determined yet
- NULL for CD and EX zones</t>
  </si>
  <si>
    <t>Row now defines Production Unit per Notion 'How to classify a zone': OP zones only, one facility per zone; types FRONT_END_FAB / PACKAGING_TEST / MIXED / UNKNOWN with definitions; NULL for CD and EX.</t>
  </si>
  <si>
    <t>Spatial units</t>
  </si>
  <si>
    <t>- Presence: 50m × 50m cells (KATEC grid)
- Dwell: 250m × 250m cells (UTM-K grid)
- Movement: origin by administrative district (SGG: city / county / district)</t>
  </si>
  <si>
    <t>Reformatted as one bullet per data type with its spatial unit; wording clarified, content unchanged.</t>
  </si>
  <si>
    <t>Point-in-time policy</t>
  </si>
  <si>
    <t>- Dates on every row:
    - Real-world date: effective_from / effective_to (zones); activity_at (foot-traffic files)
    - Availability date: pit_available_from / pit_available_to (zones); pit_available_from (foot-traffic files)
- Backtests: use only rows where pit_available_from ≤ simulation date and pit_available_to is NULL or later
- Restatements: shipped rows are never edited
    - Zones: close the row with pit_available_to and add a new row
    - Foot-traffic files: deliver a new record_version
- Backfill: history before the first client release has pit_available_from = effective_from</t>
  </si>
  <si>
    <t>PIT policy rewritten with Notion field names (effective_from/to, pit_available_from/to, record_id); adds backtest rule, restatement and backfill rules.</t>
  </si>
  <si>
    <t>Frequency &amp; Lag</t>
  </si>
  <si>
    <t>Delivery frequency</t>
  </si>
  <si>
    <t>Daily (calendar day based)</t>
  </si>
  <si>
    <t>Data frequency</t>
  </si>
  <si>
    <t>- Hourly (00–23): FT_PRESENCE_HOURLY, FT_MOVEMENT_OD_DAILY
- Daily: FT_DWELL_DAILY, FT_METRICS_DAILY
- On change: FT_LIST_ZONE</t>
  </si>
  <si>
    <t>Listed data frequency per file; movement OD is hourly (per data dictionary C88), not daily; removed undefined 'flow'; added FT_LIST_ZONE (on change).</t>
  </si>
  <si>
    <t>Lag</t>
  </si>
  <si>
    <t>5 business days</t>
  </si>
  <si>
    <t>History</t>
  </si>
  <si>
    <t>FT_LIST_ZONE</t>
  </si>
  <si>
    <t>From 2020-01-01</t>
  </si>
  <si>
    <t>[Files]</t>
  </si>
  <si>
    <t>File</t>
  </si>
  <si>
    <t>Measurement basis</t>
  </si>
  <si>
    <t>Record grain</t>
  </si>
  <si>
    <t>Frequency</t>
  </si>
  <si>
    <t>What does a record mean</t>
  </si>
  <si>
    <t>Definition</t>
  </si>
  <si>
    <t>New column F 'What does a record mean' added to the Files table (F29:F34).</t>
  </si>
  <si>
    <t>Master/reference table of analysis zones: Campus -&gt; Campus Division (CD) -&gt; Operation (OP) / Expansion (EX) zones, including zone_type and product_association tagging. Production unit fields (name, code, type) apply to OP zones only. All other four files join to this table via zone_code. This table itself contains no activity/observation data.</t>
  </si>
  <si>
    <t>Reference: zone master with full version history</t>
  </si>
  <si>
    <t>zone × version</t>
  </si>
  <si>
    <t>On change (versioned)</t>
  </si>
  <si>
    <t>Instant vs. Interval</t>
  </si>
  <si>
    <t>Key Grain</t>
  </si>
  <si>
    <t>One version of one zone's attributes (e.g. SKH_ICH_OP_03 as known from a given pit_available_from date)</t>
  </si>
  <si>
    <t>zone × version (one row per version of one zone's attributes)</t>
  </si>
  <si>
    <t>Measurement basis and record grain rewritten: FT_LIST_ZONE is a versioned zone reference table (one row per zone version), not company × fab × zone.</t>
  </si>
  <si>
    <t>ZONE_LINEAGE_MASTER</t>
  </si>
  <si>
    <t>Reference: zone splits and transformations (EX → OP), linking parent and child zone records</t>
  </si>
  <si>
    <t>Key Inference</t>
  </si>
  <si>
    <t>parent_record_id × child_record_id × version</t>
  </si>
  <si>
    <t>One link from a parent zone version to a child zone version (e.g. SKH_ICH_001 → SKH_ICH_002, SPLIT)</t>
  </si>
  <si>
    <t>New Files row for ZONE_LINEAGE_MASTER (from the Notion zone master framework).</t>
  </si>
  <si>
    <t>TBD</t>
  </si>
  <si>
    <t>FT_PRESENCE_HOURLY</t>
  </si>
  <si>
    <t>Instant: unique persons present in each zone during each hour (each person counted once)</t>
  </si>
  <si>
    <t>date × hour × zone × population_type × version</t>
  </si>
  <si>
    <t>Hourly, delivered daily</t>
  </si>
  <si>
    <t>Estimated number of unique persons of one population type present in one zone during one hour</t>
  </si>
  <si>
    <t>Measurement basis clarified (per zone, per hour, deduplicated); record grain corrected to the file's actual fields (no cell / segment columns; version added). 'Estimated' added to the record meaning (values are KT estimates).</t>
  </si>
  <si>
    <t>Limitation</t>
  </si>
  <si>
    <t>FT_DWELL_DAILY</t>
  </si>
  <si>
    <t>Interval: persons arriving in each zone in each hour, by how long they stayed (duration bucket)</t>
  </si>
  <si>
    <t>date × start_hour × zone × duration_code × population_type × nationality × sex × age_band × version</t>
  </si>
  <si>
    <t>Daily</t>
  </si>
  <si>
    <t>Estimated number of unique persons of one population type and demographic group who arrived in one zone in one start hour and stayed for one duration bucket (e.g. 60–119 min)</t>
  </si>
  <si>
    <t>Measurement basis, record grain and record meaning rewritten to match the finalized FT_DWELL_DAILY fields (zone, duration_code, demographics, version).</t>
  </si>
  <si>
    <t>FT_MOVEMENT_OD_DAILY</t>
  </si>
  <si>
    <t>Interval: Origin–destination movement</t>
  </si>
  <si>
    <t>date × hour × zone × origin_geo_code × nationality × sex × age_band × version</t>
  </si>
  <si>
    <t>Estimated number of persons of one nationality, sex and age band moving from one origin district (SGG) to one zone in one hour</t>
  </si>
  <si>
    <t>Record grain and record meaning updated to the finalized movement fields (demographics, version; 20–64 now derived from age_band_code).</t>
  </si>
  <si>
    <t>record_id</t>
  </si>
  <si>
    <t>zone_code</t>
  </si>
  <si>
    <t>FT_METRICS_DAILY</t>
  </si>
  <si>
    <t>Derived standardized metrics (FT01–FT12)</t>
  </si>
  <si>
    <t>date × fab × zone × metric × parameters</t>
  </si>
  <si>
    <t>effective_from</t>
  </si>
  <si>
    <t>effective_to</t>
  </si>
  <si>
    <t>One FT metric value (FT01–FT12) for one zone on one day</t>
  </si>
  <si>
    <t>pit_available_from</t>
  </si>
  <si>
    <t>pit_available_to</t>
  </si>
  <si>
    <t>company_name_en</t>
  </si>
  <si>
    <t>security_code</t>
  </si>
  <si>
    <t>campus_name</t>
  </si>
  <si>
    <t>campus_code</t>
  </si>
  <si>
    <t>campus_address</t>
  </si>
  <si>
    <t>production_unit_name</t>
  </si>
  <si>
    <t>production_unit_code</t>
  </si>
  <si>
    <t>production_unit_type</t>
  </si>
  <si>
    <t>zone_type</t>
  </si>
  <si>
    <t>zone_type_confidence</t>
  </si>
  <si>
    <t>primary_product_association</t>
  </si>
  <si>
    <t>product_association_confidence</t>
  </si>
  <si>
    <t>record_created_at</t>
  </si>
  <si>
    <t>SKH_ICH_001</t>
  </si>
  <si>
    <t>[Data Dictionary]</t>
  </si>
  <si>
    <t>SKH_ICH_OP_03</t>
  </si>
  <si>
    <t>2026-01-01</t>
  </si>
  <si>
    <t>NULL</t>
  </si>
  <si>
    <t>2026-01-05</t>
  </si>
  <si>
    <t>SK HYNIX INC</t>
  </si>
  <si>
    <t>KR7000660001</t>
  </si>
  <si>
    <t>ICHEON</t>
  </si>
  <si>
    <t>SKH_ICH</t>
  </si>
  <si>
    <t>2091 Gyeongchung-daero, Bubal-eup, Icheon-si</t>
  </si>
  <si>
    <t>M16</t>
  </si>
  <si>
    <t>SKH_ICH_M16</t>
  </si>
  <si>
    <t>FRONT_END_FAB</t>
  </si>
  <si>
    <t>OP</t>
  </si>
  <si>
    <t>HIGH</t>
  </si>
  <si>
    <t>DRAM</t>
  </si>
  <si>
    <t>HIGHLY_ASSOC</t>
  </si>
  <si>
    <t>2026-10-14 00:00</t>
  </si>
  <si>
    <t>0/blank legends</t>
  </si>
  <si>
    <t>PACKAGING_TEST</t>
  </si>
  <si>
    <t>EX</t>
  </si>
  <si>
    <t>MEDIUM</t>
  </si>
  <si>
    <t>HBM</t>
  </si>
  <si>
    <t>ASSOC</t>
  </si>
  <si>
    <t>0</t>
  </si>
  <si>
    <t>MIXED</t>
  </si>
  <si>
    <t>CD</t>
  </si>
  <si>
    <t>LOW</t>
  </si>
  <si>
    <t>NAND</t>
  </si>
  <si>
    <t>UNCERTAIN</t>
  </si>
  <si>
    <t>zero activity (i.e. available but no observed activity)</t>
  </si>
  <si>
    <t>UNKNOWN</t>
  </si>
  <si>
    <t>LOGIC</t>
  </si>
  <si>
    <t>(blank) or N/A</t>
  </si>
  <si>
    <t>N/A (e.g. not applicable / not provided for this row)</t>
  </si>
  <si>
    <t>SKH_ICH_002</t>
  </si>
  <si>
    <t>SKH_ICH_EX_01</t>
  </si>
  <si>
    <t>missing date</t>
  </si>
  <si>
    <t>No data was collected or observed on that date</t>
  </si>
  <si>
    <t>SKH_ICH_003</t>
  </si>
  <si>
    <t>SKH_ICH_CD_01</t>
  </si>
  <si>
    <t>file name</t>
  </si>
  <si>
    <t>field name</t>
  </si>
  <si>
    <t>field values / reference</t>
  </si>
  <si>
    <t>dtype(schema)</t>
  </si>
  <si>
    <t>description</t>
  </si>
  <si>
    <t>Illustrative value</t>
  </si>
  <si>
    <t>Typo fixed: filed → field.</t>
  </si>
  <si>
    <t>Not unique alone; key is (record_id, pit_available_from)</t>
  </si>
  <si>
    <t>VARCHAR(40)</t>
  </si>
  <si>
    <t>Identifier for a specific version of a zone. Stays the same across corrections and schema changes; a new one is issued only when the zone is merged, split or replaced.</t>
  </si>
  <si>
    <t>record_id redefined per Notion zone-master framework: stable across corrections, new only on merge/split/replace; key is (record_id, pit_available_from); example updated.</t>
  </si>
  <si>
    <t>-</t>
  </si>
  <si>
    <t>VARCHAR(24)</t>
  </si>
  <si>
    <t>Mandata-assigned business identifier for the geographic analysis zone; this is the key value of the dataset. Format &lt;campus_code&gt;_&lt;zone_type&gt;_&lt;NN&gt;</t>
  </si>
  <si>
    <t>Added zone_code format (2-digit suffix &lt;NN&gt;) and Notion wording; example ICH_OP_001 → SKH_ICH_OP_03; moved to 2nd field after record_id (Notion column order).</t>
  </si>
  <si>
    <t>DATE</t>
  </si>
  <si>
    <t>Date from which this zone definition is valid in the real world</t>
  </si>
  <si>
    <t>Renamed effecitve_at → effective_from and redefined per Notion zone-master framework.</t>
  </si>
  <si>
    <t>Date until which this zone definition is valid. NULL while currently valid</t>
  </si>
  <si>
    <t>New field added per Notion FT_LIST_ZONE schema.</t>
  </si>
  <si>
    <t>Date from which this specific record version became available to clients. For backfilled history (rows covering the period before the first client release), set equal to effective_from</t>
  </si>
  <si>
    <t>Renamed pit_available_at → pit_available_from and redefined per Notion zone-master framework (incl. backfill rule).</t>
  </si>
  <si>
    <t>Date until which this specific record version was available to clients. NULL for the currently available version</t>
  </si>
  <si>
    <t>Disclosed listed-company name, in English</t>
  </si>
  <si>
    <t>ISIN (12-digit)</t>
  </si>
  <si>
    <t>VARCHAR(12)</t>
  </si>
  <si>
    <t>International Securities Identification Number (ISIN) identifying the listed company: 2-letter country code (KR) + 9-digit national security identifier + 1 check digit</t>
  </si>
  <si>
    <t>Fab campus name, by location</t>
  </si>
  <si>
    <t>Reference table that records how zones evolve over time. Each row links a parent zone version (EX) to a child zone version (OP) created when the parent splits into several OP zones (SPLIT) or becomes one OP zone (TRANSFORM). Joins to FT_LIST_ZONE via parent_record_id / child_record_id = record_id. This table contains no activity/observation data.</t>
  </si>
  <si>
    <t>Reference: zone splits and transformations (EX → OP), with full version history</t>
  </si>
  <si>
    <t>parent_record_id × child_record_id × version (one row per version of one parent → child link)</t>
  </si>
  <si>
    <t>Currently empty: no zone transitions have been recorded yet</t>
  </si>
  <si>
    <t>lineage_id</t>
  </si>
  <si>
    <t>parent_record_id</t>
  </si>
  <si>
    <t>child_record_id</t>
  </si>
  <si>
    <t>relationship_type</t>
  </si>
  <si>
    <t>effective_at</t>
  </si>
  <si>
    <t>LIN_ICH_001</t>
  </si>
  <si>
    <t>SKH_ICH_004</t>
  </si>
  <si>
    <t>TRANSFORM</t>
  </si>
  <si>
    <t>2027-07-01</t>
  </si>
  <si>
    <t>2027-07-05</t>
  </si>
  <si>
    <t>2027-07-05 03:00</t>
  </si>
  <si>
    <t>Daily population count bucketed by dwell start-hour x dwell-duration, used to separate short visits from long-duration presence (e.g. construction/installation crews).</t>
  </si>
  <si>
    <t>Interval</t>
  </si>
  <si>
    <t>activity_at</t>
  </si>
  <si>
    <t>activity_date</t>
  </si>
  <si>
    <t>activity_start_hour</t>
  </si>
  <si>
    <t>duration_code</t>
  </si>
  <si>
    <t>day_of_week</t>
  </si>
  <si>
    <t>is_public_holiday</t>
  </si>
  <si>
    <t>nationality_code</t>
  </si>
  <si>
    <t>sex_code</t>
  </si>
  <si>
    <t>age_band_code</t>
  </si>
  <si>
    <t>population_type</t>
  </si>
  <si>
    <t>population_dwell</t>
  </si>
  <si>
    <t>DWELL_20260717_08_M60_119_SKH_ICH_EX_01</t>
  </si>
  <si>
    <t>2026-07-17 08:00</t>
  </si>
  <si>
    <t>2026-07-18</t>
  </si>
  <si>
    <t>2026-07-18 03:00</t>
  </si>
  <si>
    <t>2026-07-17</t>
  </si>
  <si>
    <t>M60_119</t>
  </si>
  <si>
    <t>FRI</t>
  </si>
  <si>
    <t>N</t>
  </si>
  <si>
    <t>M</t>
  </si>
  <si>
    <t>A30_39</t>
  </si>
  <si>
    <t>TOTAL</t>
  </si>
  <si>
    <t>M30_59</t>
  </si>
  <si>
    <t>F</t>
  </si>
  <si>
    <t>WP</t>
  </si>
  <si>
    <t>M120_179</t>
  </si>
  <si>
    <t>VP</t>
  </si>
  <si>
    <t>M180_239</t>
  </si>
  <si>
    <t>RP</t>
  </si>
  <si>
    <t>M240_PLUS</t>
  </si>
  <si>
    <t>UNCLASSIFIED</t>
  </si>
  <si>
    <t>Estimated number of unique persons of one population type present in one zone during one hour - a snapshot read of 'presence'.</t>
  </si>
  <si>
    <t>activity_hour</t>
  </si>
  <si>
    <t>population_presence</t>
  </si>
  <si>
    <t>PRES_20260717_08_SKH_ICH_OP_03_TOTAL</t>
  </si>
  <si>
    <t>PRES_20260717_08_SKH_ICH_OP_03_WP</t>
  </si>
  <si>
    <t>PRES_20260717_08_SKH_ICH_OP_03_VP</t>
  </si>
  <si>
    <t>PRES_20260717_08_SKH_ICH_OP_03_RP</t>
  </si>
  <si>
    <t>PRES_20260717_08_SKH_ICH_OP_03_UNCLASSIFIED</t>
  </si>
  <si>
    <t>VARCHAR(16)</t>
  </si>
  <si>
    <t>Mandata-assigned identifier for the campus. Format &lt;company prefix&gt;_&lt;campus&gt; (SKH = SK hynix, SSE = Samsung)</t>
  </si>
  <si>
    <t>Added campus_code format per Notion zone-master framework; example ICH → SKH_ICH.</t>
  </si>
  <si>
    <t>VARCHAR(80)</t>
  </si>
  <si>
    <t>Fab campus address</t>
  </si>
  <si>
    <t>Display name of the production unit associated with the zone. NULL for expansion and campus-division zones</t>
  </si>
  <si>
    <t>Definition aligned with Notion (NULL for EX and CD zones); example shortened to M16.</t>
  </si>
  <si>
    <t>Mandata-assigned identifier for the production unit. NULL for expansion and campus-division zones</t>
  </si>
  <si>
    <t>Added NULL rule for EX and CD zones per Notion zone-master framework.</t>
  </si>
  <si>
    <t>See Code List - production_unit_type</t>
  </si>
  <si>
    <t>Classification of the production unit. NULL for expansion and campus-division zones. Values: FRONT_END_FAB, PACKAGING_TEST, MIXED, UNKNOWN</t>
  </si>
  <si>
    <t>Definition aligned with Notion 'How to classify a zone' (final): adds MIXED and UNKNOWN; NULL for EX and CD zones.</t>
  </si>
  <si>
    <t>See Code List - zone_type</t>
  </si>
  <si>
    <t>VARCHAR(8)</t>
  </si>
  <si>
    <t>High-level zone classification: OP = Operation, EX = Expansion, CD = Campus Division. Others (everything in a CD that is neither OP nor EX) is not stored; it is calculated as CD − OP − EX</t>
  </si>
  <si>
    <t>zone_type redefined per Notion 'How to classify a zone': OP / EX / CD (+ Others calculated); VARCHAR(4) → VARCHAR(8).</t>
  </si>
  <si>
    <t>See Code List - zone_type_confidence</t>
  </si>
  <si>
    <t>Confidence level of the zone-type classification</t>
  </si>
  <si>
    <t>See Code List - primary_product_association</t>
  </si>
  <si>
    <t>Product family the zone is associated with, by public/spatial tagging (association only - NOT a direct production measurement; expressed as e.g. 'HBM-associated fab activity')</t>
  </si>
  <si>
    <t>See Code List - product_association_confidence</t>
  </si>
  <si>
    <t>Confidence level of the product-association tagging</t>
  </si>
  <si>
    <t>DATETIME (UTC)</t>
  </si>
  <si>
    <t>Date and time this record version was created in Mandata's system. Set automatically; never edited.</t>
  </si>
  <si>
    <t>New field added per Notion FT_LIST_ZONE schema (19 columns).</t>
  </si>
  <si>
    <t>Unique key</t>
  </si>
  <si>
    <t>System-generated unique identifier for a zone-lineage relationship record</t>
  </si>
  <si>
    <t>New file ZONE_LINEAGE_MASTER (rows 62–68), from the Notion zone master framework.</t>
  </si>
  <si>
    <t>record_id of the zone that existed before the transition</t>
  </si>
  <si>
    <t>record_id of the zone created as a result of the transition</t>
  </si>
  <si>
    <t>SPLIT / TRANSFORM</t>
  </si>
  <si>
    <t>How the child zone relates to the parent. Values: SPLIT = one EX zone becomes several OP zones; TRANSFORM = one EX zone becomes one OP zone</t>
  </si>
  <si>
    <t>SPLIT</t>
  </si>
  <si>
    <t>relationship_type values: SPLIT (one EX → several OP) / TRANSFORM (one EX → one OP).</t>
  </si>
  <si>
    <t>Real-world date on which the zone transition took effect</t>
  </si>
  <si>
    <t>Date from which this lineage relationship became available to clients</t>
  </si>
  <si>
    <t>Date until which this particular lineage record version was available to clients. NULL while current</t>
  </si>
  <si>
    <t>Date and time this lineage record version was created in Mandata's system. Set automatically; never edited.</t>
  </si>
  <si>
    <t>New field record_created_at, matching the other versioned files.</t>
  </si>
  <si>
    <t>Identifier for an hourly presence record; stays the same across restatements</t>
  </si>
  <si>
    <t>record_id redefined (stable across restatements; key with pit_available_from); example uses 2-digit zone_code SKH_ICH_OP_03.</t>
  </si>
  <si>
    <t>DATETIME</t>
  </si>
  <si>
    <t>Date and hour of the observation as one timestamp (activity_date + activity_hour combined); e.g. 2026-07-17 08:00 covers 08:00–08:59</t>
  </si>
  <si>
    <t>Clarified that the timestamp covers the whole hour.</t>
  </si>
  <si>
    <t>Date from which this record version became available to clients. For backfilled history, set equal to activity_date</t>
  </si>
  <si>
    <t>Renamed pit_available_at → pit_available_from (SCD Type 2 with pit_available_to); record_version row removed — versions now tracked by pit_available_from/to.</t>
  </si>
  <si>
    <t>Date until which this record version was available to clients. NULL for the current version</t>
  </si>
  <si>
    <t>New field (SCD Type 2 versioning, consistent with FT_LIST_ZONE).</t>
  </si>
  <si>
    <t>Date and time this record version was created in Mandata's system. Set automatically; never edited</t>
  </si>
  <si>
    <t>New field: tiebreak for same-day restatements and audit / backfill transparency.</t>
  </si>
  <si>
    <t>Calendar date on which the activity occurred</t>
  </si>
  <si>
    <t>0-23</t>
  </si>
  <si>
    <t>TINYINT</t>
  </si>
  <si>
    <t>- Hour of day (0–23); e.g. 8 = 08:00–08:59
- Suggested shift grouping: Day 07–15, Swing 15–23, Night 23–07</t>
  </si>
  <si>
    <t>8</t>
  </si>
  <si>
    <t>Reformatted; shift grouping marked as a suggestion (night-shift date handling to be confirmed with the team).</t>
  </si>
  <si>
    <t>MON-SUN</t>
  </si>
  <si>
    <t>VARCHAR(3)</t>
  </si>
  <si>
    <t>Day of week, derived from activity_date</t>
  </si>
  <si>
    <t>Y/N</t>
  </si>
  <si>
    <t>CHAR(1)</t>
  </si>
  <si>
    <t>Whether activity_date is a designated public holiday</t>
  </si>
  <si>
    <t>Mandata-assigned business identifier for the geographic analysis zone.</t>
  </si>
  <si>
    <t>Definition aligned with FT_LIST_ZONE.zone_code wording.</t>
  </si>
  <si>
    <t>See Code List - population_type</t>
  </si>
  <si>
    <t>- Population classification derived by Mandata by comparing the zone's location against the day/night resident SGG (city/county/district) codes supplied by KT
- Values: TOTAL / WP / VP / RP / UNCLASSIFIED (definitions: Code List - population_type)</t>
  </si>
  <si>
    <t>Typo fixed (popoulation_type → population_type); reformatted; allowed codes listed inline, definitions kept in the Code List.</t>
  </si>
  <si>
    <t>DOUBLE</t>
  </si>
  <si>
    <t>- Estimated number of unique persons present in the zone during this hour
- Basis: instant (headcount, each person counted once per hour)</t>
  </si>
  <si>
    <t>1254.3</t>
  </si>
  <si>
    <t>Corrected per KT owner layout: deduplicated count of persons present during the hour, not a single-moment snapshot.</t>
  </si>
  <si>
    <t>Identifier for a dwell record; stays the same across restatements</t>
  </si>
  <si>
    <t>Example updated to the 2-digit zone_code format (SKH_ICH_OP_03 = M16, matching the zone-master example). record_id no longer unique on its own; key is (record_id, pit_available_from) under SCD Type 2 versioning.</t>
  </si>
  <si>
    <t>Date and hour the dwell started as one timestamp (activity_date + activity_start_hour combined); e.g. 2026-07-17 08:00 covers arrivals 08:00–08:59</t>
  </si>
  <si>
    <t>Description aligned with FT_PRESENCE_HOURLY (one timestamp, example added).</t>
  </si>
  <si>
    <t>pit_available_at renamed to pit_available_from with the standard definition; record_version row removed (replaced by SCD Type 2 versioning).</t>
  </si>
  <si>
    <t>New column for SCD Type 2 versioning.</t>
  </si>
  <si>
    <t>Calendar date on which the dwell period began</t>
  </si>
  <si>
    <t>Hour of day at which the dwell period started (arrival hour)</t>
  </si>
  <si>
    <t>See Code List - duration_code</t>
  </si>
  <si>
    <t>- Dwell-duration bucket for persons who arrived in this start hour
- Values: M30_59 / M60_119 / M120_179 / M180_239 / M240_PLUS (definitions: Code List - duration_code)
- Limitation: source data (KT STY_MNUT_CD) currently tops out at a single 240+ minute bucket, so multi-hour construction/installation dwell beyond 4 hours can't yet be distinguished</t>
  </si>
  <si>
    <t>Reformatted; allowed codes listed inline, definitions kept in the Code List.</t>
  </si>
  <si>
    <t>Mandata analysis-zone identifier (links to FT_LIST_ZONE.zone_code)</t>
  </si>
  <si>
    <t>Example updated to the 2-digit zone_code format (SKH_ICH_OP_03 = M16, matching the zone-master example).</t>
  </si>
  <si>
    <t>Korean national / long-stay foreign national / short-stay foreign national (code values TBD)</t>
  </si>
  <si>
    <t>Nationality group of the persons counted, from KT IN_FORN_DIV_CD</t>
  </si>
  <si>
    <t>New column: KT nationality breakdown. Replaces population_segment (removed) together with sex_code and age_band_code.</t>
  </si>
  <si>
    <t>M = male, F = female (TBD with KT)</t>
  </si>
  <si>
    <t>Sex of the persons counted</t>
  </si>
  <si>
    <t>New column: KT sex breakdown (codes to be confirmed with KT). sex_code values set to M = male / F = female (to be confirmed with KT); example M.</t>
  </si>
  <si>
    <t>TBD (pending CEO decision)
- Option 1, 10-year split: A00_19 / A20_29 / A30_39 / A40_49 / A50_64 / A65_PLUS. Pro: granular; shows age shifts within the workforce
- Option 2, 3 split: A00_19 / A20_64 / A65_PLUS. Pro: simpler; can be used directly for FT_MOVEMENT_OD_DAILY</t>
  </si>
  <si>
    <t>Age band of the persons counted, from KT AGE_CD (bands to be agreed with KT)</t>
  </si>
  <si>
    <t>New column: KT age-band breakdown (bands to be agreed with KT). age_band_code: two band options listed, pending CEO decision; example A30_39.</t>
  </si>
  <si>
    <t>- Population classification derived by Mandata from the day/night resident SGG codes supplied by KT (same as FT_PRESENCE_HOURLY)
- Values: TOTAL / WP / VP / RP / UNCLASSIFIED (definitions: Code List - population_type)</t>
  </si>
  <si>
    <t>Typo fixed: popoulation_type → population_type. Reformatted to match FT_PRESENCE_HOURLY; allowed codes listed inline.</t>
  </si>
  <si>
    <t>Estimated population count within this start-hour x duration bucket</t>
  </si>
  <si>
    <t>326</t>
  </si>
  <si>
    <t>Identifier for a movement record; stays the same across restatements</t>
  </si>
  <si>
    <t>OD_20260717_20_SKH_ICH_OP_03_11680</t>
  </si>
  <si>
    <t>Date and hour of the movement as one timestamp (activity_date + activity_hour combined); e.g. 2026-07-17 20:00 covers 20:00–20:59</t>
  </si>
  <si>
    <t>2026-07-17 20:00</t>
  </si>
  <si>
    <t>Calendar date on which the movement occurred</t>
  </si>
  <si>
    <t>Hour of day of the movement volume</t>
  </si>
  <si>
    <t>20</t>
  </si>
  <si>
    <t>Example updated to the 2-digit zone_code format (SKH_ICH_OP_03 = M16, matching the zone-master example). Reworded to the standard zone_code definition used in the other files. zone_code reworded to the same definition as FT_PRESENCE_HOURLY. Trailing sentence removed; same zone_code definition as FT_PRESENCE_HOURLY.</t>
  </si>
  <si>
    <t>origin_geo_code</t>
  </si>
  <si>
    <t>VARCHAR(10)</t>
  </si>
  <si>
    <t>Administrative SGG (city/county/district) code of the movement's origin
- Granularity: SGG</t>
  </si>
  <si>
    <t>11680</t>
  </si>
  <si>
    <t>Reformatted into a definition plus bullets; wording unchanged. Granularity note shortened; zone-to-zone note removed.</t>
  </si>
  <si>
    <t>origin_distance_band_code</t>
  </si>
  <si>
    <t>See Code List - origin_distance_band_code</t>
  </si>
  <si>
    <t>Distance band from the fab zone to the origin SGG's centroid (definitions: Code List - origin_distance_band_code)
- D00_10: 0 to &lt;10 km
- D10_30: 10 to &lt;30 km
- D30_60: 30 to &lt;60 km
- D60_100: 60 to &lt;100 km
- D100_200: 100 to &lt;200 km
- D200_PLUS: 200 km or more</t>
  </si>
  <si>
    <t>D30_60</t>
  </si>
  <si>
    <t>Reformatted; band codes listed inline, definitions kept in the Code List. Example corrected: SGG 11680 (Gangnam-gu) is about 45–50 km from SK hynix Icheon, so D30_60.</t>
  </si>
  <si>
    <t>New column: KT nationality breakdown. Replaces population_segment (removed), together with sex_code and age_band_code; same as FT_DWELL_DAILY.</t>
  </si>
  <si>
    <t>M = male, F = female</t>
  </si>
  <si>
    <t>Sex of the persons counted, from KT SEX_CD</t>
  </si>
  <si>
    <t>New column: KT sex breakdown (M / F).</t>
  </si>
  <si>
    <t>New column: KT age-band breakdown (bands pending CEO decision).</t>
  </si>
  <si>
    <t>population</t>
  </si>
  <si>
    <t>- Estimated number of persons moving from origin_geo_code to this zone in this hour, for one nationality, sex and age band
- Age groups are derived from age_band_code (e.g. 20–64 = sum of A20_29 to A50_64)</t>
  </si>
  <si>
    <t>2410</t>
  </si>
  <si>
    <t>Measure renamed population_20_64_origin → population; now a plain count per nationality, sex and age band. 20–64 is derived from age_band_code.</t>
  </si>
  <si>
    <t>Identifier for a metric record; stays the same across restatements</t>
  </si>
  <si>
    <t>MET_20260717_SKH_ICH_OP_03_FT02</t>
  </si>
  <si>
    <t>Timestamp of the underlying activity this metric summarizes</t>
  </si>
  <si>
    <t>2026-07-17 00:00</t>
  </si>
  <si>
    <t>Metric reference date (calendar date this metric row summarizes)</t>
  </si>
  <si>
    <t>(Draft) Hour parameter associated with the metric, if the metric is computed at hourly granularity; likely blank/N/A for metrics computed at daily grain</t>
  </si>
  <si>
    <t>N/A</t>
  </si>
  <si>
    <t>Day of week corresponding to the metric date, provided for convenience filtering</t>
  </si>
  <si>
    <t>Whether the metric date is a designated public holiday, provided for convenience filtering</t>
  </si>
  <si>
    <t>Mandata analysis-zone identifier this metric is calculated for (or a fab-level aggregate)</t>
  </si>
  <si>
    <t>ft_metrics_name</t>
  </si>
  <si>
    <t>See Code List - ft_metrics_code ("label_on" column)</t>
  </si>
  <si>
    <t>Standard FT-metric display name</t>
  </si>
  <si>
    <t>Activity Momentum</t>
  </si>
  <si>
    <t>ft_metrics_code</t>
  </si>
  <si>
    <t>See Code List - ft_metrics_code</t>
  </si>
  <si>
    <t>Standard FT-metric code (FT01-FT12)</t>
  </si>
  <si>
    <t>FT02</t>
  </si>
  <si>
    <t>ft_metrics_value</t>
  </si>
  <si>
    <t>Calculated metric value for this zone / date / metric combination</t>
  </si>
  <si>
    <t>0.087</t>
  </si>
  <si>
    <t>formula</t>
  </si>
  <si>
    <t>VARCHAR(200)</t>
  </si>
  <si>
    <t>Description or reference of the calculation formula/methodology used to derive ft_metrics_value</t>
  </si>
  <si>
    <t>(P_t - avg(P_t-28..t-1)) / avg(P_t-28..t-1)</t>
  </si>
  <si>
    <t>DRAFT NOTE — All sample rows across tabs are illustrative only. The final zone registry, codes and values are delivered at customer onboarding.</t>
  </si>
  <si>
    <t>[Code List]</t>
  </si>
  <si>
    <t>code_list_name</t>
  </si>
  <si>
    <t>code</t>
  </si>
  <si>
    <t>label_on</t>
  </si>
  <si>
    <t>definition</t>
  </si>
  <si>
    <t>Front-End Fab</t>
  </si>
  <si>
    <t>Front-end wafer production process facility (Production Unit = FRONT_END_FAB or PACKAGING_TEST)</t>
  </si>
  <si>
    <t>Packaging &amp; Test</t>
  </si>
  <si>
    <t>Packaging / test process facility</t>
  </si>
  <si>
    <t>Mixed</t>
  </si>
  <si>
    <t>One footprint holding both fab and package-and-test lines</t>
  </si>
  <si>
    <t>New code added per Notion 'How to classify a zone' (final): production_unit_type MIXED.</t>
  </si>
  <si>
    <t>Unknown</t>
  </si>
  <si>
    <t>Production unit type could not be determined from available information</t>
  </si>
  <si>
    <t>Operation</t>
  </si>
  <si>
    <t>An existing building in operation where semiconductors are fabricated, or packaged and tested; one facility, inside a campus division. Feeds the operating-cycle indicators (OPS01–12)</t>
  </si>
  <si>
    <t>zone_type label/definition aligned with Notion "How to classify a zone".</t>
  </si>
  <si>
    <t>Expansion</t>
  </si>
  <si>
    <t>Land or buildings where new production capacity is being built: new fabs, expansions, cleanrooms, and areas where equipment is installed and commissioned. Feeds the expansion indicators (EXP01–03)</t>
  </si>
  <si>
    <t>Campus Division</t>
  </si>
  <si>
    <t>A contiguous area within a campus, bounded by public infrastructure such as public roads; contains its OP, EX and Others zones (its polygon overlaps them by design). Others is not stored; it is calculated as CD − OP − EX</t>
  </si>
  <si>
    <t>RD → CD (Campus Division); LG and CT rows removed. zone_type is now OP / EX / CD per Notion.</t>
  </si>
  <si>
    <t>High confidence</t>
  </si>
  <si>
    <t>Zone boundary/type mapping is well established with strong corroborating evidence</t>
  </si>
  <si>
    <t>Medium confidence</t>
  </si>
  <si>
    <t>Zone boundary/type mapping has partial or indirect corroborating evidence</t>
  </si>
  <si>
    <t>Low confidence</t>
  </si>
  <si>
    <t>Zone boundary/type mapping is preliminary or based on limited evidence</t>
  </si>
  <si>
    <t>Zone associated with High Bandwidth Memory production/packaging, by public/spatial tagging (association only, not a direct production measurement)</t>
  </si>
  <si>
    <t>Zone associated with DRAM production</t>
  </si>
  <si>
    <t>Zone associated with NAND flash production</t>
  </si>
  <si>
    <t>Zone associated with LOGIC semiconductor production</t>
  </si>
  <si>
    <t>Zone associated with more than one product family; cannot be uniquely tagged</t>
  </si>
  <si>
    <t>No product association identified for this zone</t>
  </si>
  <si>
    <t>Highly associated</t>
  </si>
  <si>
    <t>Strong public/spatial evidence supporting the tagged product association</t>
  </si>
  <si>
    <t>Associated</t>
  </si>
  <si>
    <t>Moderate evidence supporting the tagged product association</t>
  </si>
  <si>
    <t>Uncertain</t>
  </si>
  <si>
    <t>Limited or conflicting evidence for the tagged product association</t>
  </si>
  <si>
    <t>Total population</t>
  </si>
  <si>
    <t>All persons present in the zone/hour, regardless of sub-classification</t>
  </si>
  <si>
    <t>Working population</t>
  </si>
  <si>
    <t>Persons whose day-time resident SGG differs from their night-time resident SGG and whose day-time resident SGG matches the zone's area (i.e., they commute in to work) - derived by Mandata from KT's day/night resident SGG codes (DAY_RSDN_SGG_CD / NGT_RSDN_SGG_CD); not delivered directly by KT</t>
  </si>
  <si>
    <t>Visiting population</t>
  </si>
  <si>
    <t>Persons whose day- and night-time resident SGG both differ from the zone's area (present but not residing or regularly working there) - derived by Mandata from KT's day/night resident SGG codes</t>
  </si>
  <si>
    <t>Resident population</t>
  </si>
  <si>
    <t>Persons whose day- and night-time resident SGG both match the zone's area (i.e., they live in the immediate vicinity) - derived by Mandata from KT's day/night resident SGG codes</t>
  </si>
  <si>
    <t>Unclassified population</t>
  </si>
  <si>
    <t>Persons who cannot be confidently assigned to WP/VP/RP from the day/night resident SGG comparison (e.g., missing or ambiguous SGG match)</t>
  </si>
  <si>
    <t>30-59 minutes</t>
  </si>
  <si>
    <t>Dwell duration bucket: 30 to 59 minutes (matches KT STY_MNUT_CD = 1)</t>
  </si>
  <si>
    <t>60-119 minutes</t>
  </si>
  <si>
    <t>Dwell duration bucket: 60 to 119 minutes (matches KT STY_MNUT_CD = 2)</t>
  </si>
  <si>
    <t>120-179 minutes</t>
  </si>
  <si>
    <t>Dwell duration bucket: 120 to 179 minutes (matches KT STY_MNUT_CD = 3)</t>
  </si>
  <si>
    <t>180-239 minutes</t>
  </si>
  <si>
    <t>Dwell duration bucket: 180 to 239 minutes (matches KT STY_MNUT_CD = 4)</t>
  </si>
  <si>
    <t>240+ minutes</t>
  </si>
  <si>
    <t>Dwell duration bucket: 240 minutes (4 hours) or more (matches KT STY_MNUT_CD = 5). Currently the top bucket - durations beyond 4 hours are not further distinguished in the source data; see FT_DWELL_DAILY sheet Limitation.</t>
  </si>
  <si>
    <t>MON</t>
  </si>
  <si>
    <t>Monday</t>
  </si>
  <si>
    <t>Day of week, derived from the activity/observation date</t>
  </si>
  <si>
    <t>TUE</t>
  </si>
  <si>
    <t>Tuesday</t>
  </si>
  <si>
    <t>WED</t>
  </si>
  <si>
    <t>Wednesday</t>
  </si>
  <si>
    <t>THU</t>
  </si>
  <si>
    <t>Thursday</t>
  </si>
  <si>
    <t>Friday</t>
  </si>
  <si>
    <t>SAT</t>
  </si>
  <si>
    <t>Saturday</t>
  </si>
  <si>
    <t>SUN</t>
  </si>
  <si>
    <t>Sunday</t>
  </si>
  <si>
    <t>Y</t>
  </si>
  <si>
    <t>Yes</t>
  </si>
  <si>
    <t>The activity/observation date is a designated Korean public holiday</t>
  </si>
  <si>
    <t>No</t>
  </si>
  <si>
    <t>The activity/observation date is not a public holiday</t>
  </si>
  <si>
    <t>FT01</t>
  </si>
  <si>
    <t>Presence Level</t>
  </si>
  <si>
    <t>Absolute or normalized level of population activity present in a given time/space</t>
  </si>
  <si>
    <t>Direction and strength of change in recent activity level vs. the prior period</t>
  </si>
  <si>
    <t>FT03</t>
  </si>
  <si>
    <t>Activity Acceleration</t>
  </si>
  <si>
    <t>Whether the speed of activity change is increasing or decelerating</t>
  </si>
  <si>
    <t>FT04</t>
  </si>
  <si>
    <t>Activity Persistence</t>
  </si>
  <si>
    <t>Extent to which a directional change (up/down) is sustained rather than a one-off blip</t>
  </si>
  <si>
    <t>FT05</t>
  </si>
  <si>
    <t>Activity Volatility</t>
  </si>
  <si>
    <t>Stability or irregularity of activity level / rate of change</t>
  </si>
  <si>
    <t>FT06</t>
  </si>
  <si>
    <t>Night Activity Ratio</t>
  </si>
  <si>
    <t>Share of total activity occurring during designated night hours</t>
  </si>
  <si>
    <t>FT07</t>
  </si>
  <si>
    <t>Weekend Activity Ratio</t>
  </si>
  <si>
    <t>Share of total activity occurring on weekends/holidays</t>
  </si>
  <si>
    <t>FT08</t>
  </si>
  <si>
    <t>Activity Breadth</t>
  </si>
  <si>
    <t>Whether an increase/decrease in activity is confined to a few cells or spreads across zones/cells</t>
  </si>
  <si>
    <t>FT09</t>
  </si>
  <si>
    <t>Population Mix</t>
  </si>
  <si>
    <t>Composition of activity by population type / sex / age and its change over time</t>
  </si>
  <si>
    <t>FT10</t>
  </si>
  <si>
    <t>Calendar-Adjusted Activity Level</t>
  </si>
  <si>
    <t>Activity level after removing calendar effects (day-of-week, holiday, seasonal)</t>
  </si>
  <si>
    <t>FT11</t>
  </si>
  <si>
    <t>Control-Adjusted Activity Change</t>
  </si>
  <si>
    <t>Fab-specific activity change, net of general area-level change captured by the control zone</t>
  </si>
  <si>
    <t>FT12</t>
  </si>
  <si>
    <t>Activity Anomaly Score</t>
  </si>
  <si>
    <t>Degree to which observed activity is statistically unusual relative to historical normal patterns</t>
  </si>
  <si>
    <t>D00_10</t>
  </si>
  <si>
    <t>0-10 km</t>
  </si>
  <si>
    <t>Distance band: origin SGG centroid is 0km (inclusive) to under 10km from the fab zone</t>
  </si>
  <si>
    <t>D10_30</t>
  </si>
  <si>
    <t>10-30 km</t>
  </si>
  <si>
    <t>Distance band: 10km (inclusive) to under 30km</t>
  </si>
  <si>
    <t>30-60 km</t>
  </si>
  <si>
    <t>Distance band: 30km (inclusive) to under 60km</t>
  </si>
  <si>
    <t>D60_100</t>
  </si>
  <si>
    <t>60-100 km</t>
  </si>
  <si>
    <t>Distance band: 60km (inclusive) to under 100km</t>
  </si>
  <si>
    <t>D100_200</t>
  </si>
  <si>
    <t>100-200 km</t>
  </si>
  <si>
    <t>Distance band: 100km (inclusive) to under 200km</t>
  </si>
  <si>
    <t>D200_PLUS</t>
  </si>
  <si>
    <t>200+ km</t>
  </si>
  <si>
    <t>Distance band: 200km or more</t>
  </si>
  <si>
    <t>Origin distance band could not be determined (e.g., missing or unresolvable origin SGG)</t>
  </si>
  <si>
    <t>Inbound movement volume from an administrative SGG (city/county/district) origin to a fab zone destination (Origin-Destination), used to profile where the population working at / visiting a fab zone commutes from.</t>
  </si>
  <si>
    <t>Interval; a flow accumulated over an hour, not a point-in-time count</t>
  </si>
  <si>
    <t>The core deliverable file - standardized FT01-FT12 metric values calculated per zone, designed to map directly onto the 21 investment indicators.</t>
  </si>
  <si>
    <t>Neither Instant nor Interval; a computed daily statistic built on top of Presence (and other) inputs</t>
  </si>
  <si>
    <t>date x zone x ft_metrics_code (plus parameters where applicable, e.g. baseline/observation window)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</si>
</sst>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Roboto"/>
    </font>
    <font>
      <b/>
      <sz val="30.0"/>
      <color rgb="FF000000"/>
      <name val="Roboto"/>
    </font>
    <font/>
    <font>
      <sz val="12.0"/>
      <color theme="1"/>
      <name val="Roboto"/>
    </font>
    <font>
      <sz val="12.0"/>
      <color rgb="FF000000"/>
      <name val="Roboto"/>
    </font>
    <font>
      <b/>
      <sz val="14.0"/>
      <color rgb="FF000000"/>
      <name val="Roboto"/>
    </font>
    <font>
      <b/>
      <sz val="12.0"/>
      <color rgb="FF000000"/>
      <name val="Roboto"/>
    </font>
    <font>
      <b/>
      <sz val="12.0"/>
      <color theme="1"/>
      <name val="Roboto"/>
    </font>
    <font>
      <b/>
      <sz val="9.0"/>
      <color rgb="FF000000"/>
      <name val="Roboto"/>
    </font>
    <font>
      <sz val="10.0"/>
      <color theme="1"/>
      <name val="Roboto"/>
    </font>
    <font>
      <b/>
      <sz val="8.0"/>
      <color rgb="FF000000"/>
      <name val="Roboto"/>
    </font>
    <font>
      <b/>
      <sz val="10.0"/>
      <color rgb="FF000000"/>
      <name val="Roboto"/>
    </font>
    <font>
      <i/>
      <sz val="12.0"/>
      <color rgb="FF666666"/>
      <name val="Roboto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B400"/>
        <bgColor rgb="FFF4B400"/>
      </patternFill>
    </fill>
    <fill>
      <patternFill patternType="solid">
        <fgColor rgb="FFFFFF00"/>
        <bgColor rgb="FFFFFF00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right" vertical="center"/>
    </xf>
    <xf borderId="0" fillId="0" fontId="6" numFmtId="0" xfId="0" applyAlignment="1" applyFont="1">
      <alignment vertical="top"/>
    </xf>
    <xf borderId="4" fillId="3" fontId="6" numFmtId="0" xfId="0" applyAlignment="1" applyBorder="1" applyFill="1" applyFont="1">
      <alignment vertical="top"/>
    </xf>
    <xf borderId="5" fillId="2" fontId="7" numFmtId="0" xfId="0" applyAlignment="1" applyBorder="1" applyFill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6" fillId="2" fontId="7" numFmtId="0" xfId="0" applyAlignment="1" applyBorder="1" applyFill="1" applyFont="1">
      <alignment horizontal="left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8" fillId="0" fontId="3" numFmtId="0" xfId="0" applyBorder="1" applyFont="1"/>
    <xf borderId="9" fillId="0" fontId="3" numFmtId="0" xfId="0" applyBorder="1" applyFont="1"/>
    <xf borderId="1" fillId="3" fontId="5" numFmtId="0" xfId="0" applyAlignment="1" applyBorder="1" applyFill="1" applyFont="1">
      <alignment horizontal="left" shrinkToFit="0" vertical="top" wrapText="1"/>
    </xf>
    <xf borderId="4" fillId="3" fontId="1" numFmtId="0" xfId="0" applyAlignment="1" applyBorder="1" applyFill="1" applyFont="1">
      <alignment horizontal="left" shrinkToFit="0" vertical="top" wrapText="1"/>
    </xf>
    <xf borderId="10" fillId="3" fontId="5" numFmtId="0" xfId="0" applyAlignment="1" applyBorder="1" applyFill="1" applyFont="1">
      <alignment horizontal="left" shrinkToFit="0" vertical="top" wrapText="1"/>
    </xf>
    <xf borderId="11" fillId="0" fontId="3" numFmtId="0" xfId="0" applyBorder="1" applyFont="1"/>
    <xf borderId="12" fillId="0" fontId="3" numFmtId="0" xfId="0" applyBorder="1" applyFont="1"/>
    <xf borderId="13" fillId="3" fontId="7" numFmtId="0" xfId="0" applyAlignment="1" applyBorder="1" applyFill="1" applyFont="1">
      <alignment vertical="top"/>
    </xf>
    <xf borderId="1" fillId="3" fontId="7" numFmtId="0" xfId="0" applyAlignment="1" applyBorder="1" applyFill="1" applyFont="1">
      <alignment horizontal="left" shrinkToFit="0" vertical="top" wrapText="1"/>
    </xf>
    <xf borderId="14" fillId="2" fontId="4" numFmtId="0" xfId="0" applyAlignment="1" applyBorder="1" applyFill="1" applyFont="1">
      <alignment vertical="top"/>
    </xf>
    <xf borderId="13" fillId="2" fontId="7" numFmtId="0" xfId="0" applyAlignment="1" applyBorder="1" applyFill="1" applyFont="1">
      <alignment vertical="top"/>
    </xf>
    <xf borderId="1" fillId="3" fontId="4" numFmtId="0" xfId="0" applyAlignment="1" applyBorder="1" applyFill="1" applyFont="1">
      <alignment shrinkToFit="0" vertical="top" wrapText="1"/>
    </xf>
    <xf borderId="14" fillId="2" fontId="7" numFmtId="0" xfId="0" applyAlignment="1" applyBorder="1" applyFill="1" applyFont="1">
      <alignment horizontal="left" shrinkToFit="0" vertical="top" wrapText="1"/>
    </xf>
    <xf borderId="15" fillId="3" fontId="7" numFmtId="0" xfId="0" applyAlignment="1" applyBorder="1" applyFill="1" applyFont="1">
      <alignment vertical="top"/>
    </xf>
    <xf borderId="10" fillId="3" fontId="4" numFmtId="0" xfId="0" applyAlignment="1" applyBorder="1" applyFill="1" applyFont="1">
      <alignment shrinkToFit="0" vertical="top" wrapText="1"/>
    </xf>
    <xf borderId="16" fillId="2" fontId="7" numFmtId="0" xfId="0" applyAlignment="1" applyBorder="1" applyFill="1" applyFont="1">
      <alignment horizontal="left" shrinkToFit="0" vertical="top" wrapText="1"/>
    </xf>
    <xf borderId="17" fillId="3" fontId="7" numFmtId="0" xfId="0" applyAlignment="1" applyBorder="1" applyFill="1" applyFont="1">
      <alignment vertical="top"/>
    </xf>
    <xf borderId="18" fillId="2" fontId="7" numFmtId="0" xfId="0" applyAlignment="1" applyBorder="1" applyFill="1" applyFont="1">
      <alignment horizontal="left" shrinkToFit="0" vertical="top" wrapText="1"/>
    </xf>
    <xf borderId="19" fillId="0" fontId="3" numFmtId="0" xfId="0" applyBorder="1" applyFont="1"/>
    <xf borderId="20" fillId="3" fontId="5" numFmtId="0" xfId="0" applyAlignment="1" applyBorder="1" applyFill="1" applyFont="1">
      <alignment horizontal="left" shrinkToFit="0" vertical="top" wrapText="1"/>
    </xf>
    <xf borderId="21" fillId="0" fontId="3" numFmtId="0" xfId="0" applyBorder="1" applyFont="1"/>
    <xf borderId="22" fillId="0" fontId="3" numFmtId="0" xfId="0" applyBorder="1" applyFont="1"/>
    <xf borderId="17" fillId="2" fontId="7" numFmtId="0" xfId="0" applyAlignment="1" applyBorder="1" applyFill="1" applyFont="1">
      <alignment horizontal="left" shrinkToFit="0" vertical="top" wrapText="1"/>
    </xf>
    <xf borderId="13" fillId="2" fontId="7" numFmtId="0" xfId="0" applyAlignment="1" applyBorder="1" applyFill="1" applyFont="1">
      <alignment horizontal="left" vertical="top"/>
    </xf>
    <xf borderId="23" fillId="3" fontId="7" numFmtId="0" xfId="0" applyAlignment="1" applyBorder="1" applyFill="1" applyFont="1">
      <alignment horizontal="left" shrinkToFit="0" vertical="top" wrapText="1"/>
    </xf>
    <xf borderId="14" fillId="2" fontId="7" numFmtId="0" xfId="0" applyAlignment="1" applyBorder="1" applyFill="1" applyFont="1">
      <alignment horizontal="left" vertical="top"/>
    </xf>
    <xf borderId="24" fillId="2" fontId="7" numFmtId="0" xfId="0" applyAlignment="1" applyBorder="1" applyFill="1" applyFont="1">
      <alignment vertical="top"/>
    </xf>
    <xf borderId="7" fillId="0" fontId="5" numFmtId="0" xfId="0" applyAlignment="1" applyBorder="1" applyFont="1">
      <alignment shrinkToFit="0" vertical="top" wrapText="1"/>
    </xf>
    <xf borderId="17" fillId="2" fontId="7" numFmtId="0" xfId="0" applyAlignment="1" applyBorder="1" applyFill="1" applyFont="1">
      <alignment vertical="top"/>
    </xf>
    <xf borderId="10" fillId="3" fontId="5" numFmtId="0" xfId="0" applyAlignment="1" applyBorder="1" applyFill="1" applyFont="1">
      <alignment shrinkToFit="0" vertical="top" wrapText="1"/>
    </xf>
    <xf borderId="25" fillId="2" fontId="4" numFmtId="0" xfId="0" applyAlignment="1" applyBorder="1" applyFill="1" applyFont="1">
      <alignment vertical="top"/>
    </xf>
    <xf borderId="1" fillId="0" fontId="5" numFmtId="0" xfId="0" applyAlignment="1" applyBorder="1" applyFont="1">
      <alignment shrinkToFit="0" vertical="top" wrapText="1"/>
    </xf>
    <xf borderId="1" fillId="2" fontId="7" numFmtId="0" xfId="0" applyAlignment="1" applyBorder="1" applyFill="1" applyFont="1">
      <alignment horizontal="left" shrinkToFit="0" vertical="top" wrapText="1"/>
    </xf>
    <xf borderId="17" fillId="2" fontId="6" numFmtId="0" xfId="0" applyAlignment="1" applyBorder="1" applyFill="1" applyFont="1">
      <alignment vertical="center"/>
    </xf>
    <xf borderId="2" fillId="0" fontId="5" numFmtId="0" xfId="0" applyAlignment="1" applyBorder="1" applyFont="1">
      <alignment horizontal="left" shrinkToFit="0" vertical="top" wrapText="1"/>
    </xf>
    <xf borderId="26" fillId="2" fontId="1" numFmtId="0" xfId="0" applyBorder="1" applyFill="1" applyFont="1"/>
    <xf borderId="13" fillId="2" fontId="1" numFmtId="0" xfId="0" applyBorder="1" applyFill="1" applyFont="1"/>
    <xf borderId="0" fillId="0" fontId="1" numFmtId="0" xfId="0" applyFont="1"/>
    <xf borderId="5" fillId="2" fontId="7" numFmtId="0" xfId="0" applyAlignment="1" applyBorder="1" applyFill="1" applyFont="1">
      <alignment horizontal="center" shrinkToFit="0" vertical="top" wrapText="1"/>
    </xf>
    <xf borderId="5" fillId="3" fontId="7" numFmtId="0" xfId="0" applyAlignment="1" applyBorder="1" applyFill="1" applyFont="1">
      <alignment horizontal="center" shrinkToFit="0" vertical="top" wrapText="1"/>
    </xf>
    <xf borderId="5" fillId="2" fontId="8" numFmtId="0" xfId="0" applyAlignment="1" applyBorder="1" applyFill="1" applyFont="1">
      <alignment vertical="top"/>
    </xf>
    <xf borderId="5" fillId="0" fontId="7" numFmtId="0" xfId="0" applyAlignment="1" applyBorder="1" applyFont="1">
      <alignment horizontal="left" shrinkToFit="0" vertical="top" wrapText="1"/>
    </xf>
    <xf borderId="5" fillId="3" fontId="5" numFmtId="0" xfId="0" applyAlignment="1" applyBorder="1" applyFill="1" applyFont="1">
      <alignment horizontal="left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5" fillId="3" fontId="7" numFmtId="0" xfId="0" applyAlignment="1" applyBorder="1" applyFill="1" applyFont="1">
      <alignment horizontal="left" shrinkToFit="0" vertical="top" wrapText="1"/>
    </xf>
    <xf borderId="5" fillId="2" fontId="8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wrapText="1"/>
    </xf>
    <xf borderId="1" fillId="0" fontId="4" numFmtId="0" xfId="0" applyAlignment="1" applyBorder="1" applyFont="1">
      <alignment shrinkToFit="0" vertical="top" wrapText="1"/>
    </xf>
    <xf borderId="4" fillId="3" fontId="1" numFmtId="0" xfId="0" applyAlignment="1" applyBorder="1" applyFill="1" applyFont="1">
      <alignment vertical="top"/>
    </xf>
    <xf borderId="0" fillId="0" fontId="9" numFmtId="0" xfId="0" applyAlignment="1" applyFont="1">
      <alignment horizontal="center" vertical="center"/>
    </xf>
    <xf borderId="5" fillId="2" fontId="7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4" fillId="3" fontId="5" numFmtId="0" xfId="0" applyAlignment="1" applyBorder="1" applyFill="1" applyFont="1">
      <alignment horizontal="center" vertical="center"/>
    </xf>
    <xf borderId="5" fillId="2" fontId="7" numFmtId="0" xfId="0" applyAlignment="1" applyBorder="1" applyFill="1" applyFont="1">
      <alignment horizontal="center" vertical="top"/>
    </xf>
    <xf borderId="0" fillId="0" fontId="4" numFmtId="0" xfId="0" applyFont="1"/>
    <xf borderId="4" fillId="3" fontId="4" numFmtId="0" xfId="0" applyBorder="1" applyFill="1" applyFont="1"/>
    <xf borderId="5" fillId="2" fontId="5" numFmtId="0" xfId="0" applyAlignment="1" applyBorder="1" applyFill="1" applyFont="1">
      <alignment horizontal="center" vertical="top"/>
    </xf>
    <xf borderId="1" fillId="0" fontId="5" numFmtId="0" xfId="0" applyAlignment="1" applyBorder="1" applyFont="1">
      <alignment vertical="top"/>
    </xf>
    <xf borderId="2" fillId="0" fontId="1" numFmtId="0" xfId="0" applyAlignment="1" applyBorder="1" applyFont="1">
      <alignment vertical="top"/>
    </xf>
    <xf borderId="3" fillId="0" fontId="1" numFmtId="0" xfId="0" applyAlignment="1" applyBorder="1" applyFont="1">
      <alignment vertical="top"/>
    </xf>
    <xf borderId="5" fillId="3" fontId="7" numFmtId="0" xfId="0" applyAlignment="1" applyBorder="1" applyFill="1" applyFont="1">
      <alignment horizontal="center" vertical="top"/>
    </xf>
    <xf borderId="6" fillId="2" fontId="7" numFmtId="0" xfId="0" applyAlignment="1" applyBorder="1" applyFill="1" applyFont="1">
      <alignment horizontal="left" vertical="top"/>
    </xf>
    <xf borderId="14" fillId="2" fontId="5" numFmtId="0" xfId="0" applyAlignment="1" applyBorder="1" applyFill="1" applyFont="1">
      <alignment horizontal="left" vertical="top"/>
    </xf>
    <xf borderId="17" fillId="3" fontId="6" numFmtId="0" xfId="0" applyAlignment="1" applyBorder="1" applyFill="1" applyFont="1">
      <alignment vertical="center"/>
    </xf>
    <xf borderId="5" fillId="3" fontId="8" numFmtId="0" xfId="0" applyAlignment="1" applyBorder="1" applyFill="1" applyFont="1">
      <alignment vertical="top"/>
    </xf>
    <xf borderId="17" fillId="3" fontId="4" numFmtId="0" xfId="0" applyAlignment="1" applyBorder="1" applyFill="1" applyFont="1">
      <alignment shrinkToFit="0" vertical="top" wrapText="1"/>
    </xf>
    <xf borderId="5" fillId="3" fontId="4" numFmtId="0" xfId="0" applyAlignment="1" applyBorder="1" applyFill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4" numFmtId="20" xfId="0" applyFont="1" applyNumberFormat="1"/>
    <xf borderId="6" fillId="3" fontId="7" numFmtId="0" xfId="0" applyAlignment="1" applyBorder="1" applyFill="1" applyFont="1">
      <alignment horizontal="left" vertical="top"/>
    </xf>
    <xf borderId="25" fillId="2" fontId="5" numFmtId="0" xfId="0" applyAlignment="1" applyBorder="1" applyFill="1" applyFont="1">
      <alignment horizontal="left" vertical="top"/>
    </xf>
    <xf borderId="0" fillId="0" fontId="4" numFmtId="0" xfId="0" applyAlignment="1" applyFont="1">
      <alignment vertical="top"/>
    </xf>
    <xf borderId="0" fillId="0" fontId="13" numFmtId="0" xfId="0" applyAlignment="1" applyFont="1">
      <alignment vertical="top"/>
    </xf>
    <xf borderId="0" fillId="0" fontId="8" numFmtId="0" xfId="0" applyAlignment="1" applyFont="1">
      <alignment vertical="top"/>
    </xf>
    <xf borderId="6" fillId="2" fontId="8" numFmtId="0" xfId="0" applyAlignment="1" applyBorder="1" applyFill="1" applyFont="1">
      <alignment horizontal="center" vertical="top"/>
    </xf>
    <xf borderId="5" fillId="2" fontId="8" numFmtId="0" xfId="0" applyAlignment="1" applyBorder="1" applyFill="1" applyFont="1">
      <alignment horizontal="center" vertical="top"/>
    </xf>
    <xf borderId="27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5" fillId="0" fontId="5" numFmtId="0" xfId="0" applyAlignment="1" applyBorder="1" applyFont="1">
      <alignment horizontal="left" vertical="top"/>
    </xf>
    <xf borderId="28" fillId="0" fontId="5" numFmtId="0" xfId="0" applyAlignment="1" applyBorder="1" applyFont="1">
      <alignment horizontal="left" vertical="top"/>
    </xf>
    <xf borderId="13" fillId="3" fontId="5" numFmtId="0" xfId="0" applyAlignment="1" applyBorder="1" applyFill="1" applyFont="1">
      <alignment horizontal="left" vertical="top"/>
    </xf>
    <xf borderId="5" fillId="3" fontId="5" numFmtId="0" xfId="0" applyAlignment="1" applyBorder="1" applyFill="1" applyFont="1">
      <alignment horizontal="left" vertical="top"/>
    </xf>
    <xf borderId="29" fillId="0" fontId="5" numFmtId="0" xfId="0" applyAlignment="1" applyBorder="1" applyFont="1">
      <alignment horizontal="left" vertical="top"/>
    </xf>
    <xf borderId="27" fillId="0" fontId="4" numFmtId="0" xfId="0" applyAlignment="1" applyBorder="1" applyFont="1">
      <alignment vertical="top"/>
    </xf>
    <xf borderId="3" fillId="0" fontId="4" numFmtId="0" xfId="0" applyAlignment="1" applyBorder="1" applyFont="1">
      <alignment vertical="top"/>
    </xf>
    <xf borderId="5" fillId="3" fontId="4" numFmtId="0" xfId="0" applyAlignment="1" applyBorder="1" applyFill="1" applyFont="1">
      <alignment horizontal="left" shrinkToFit="0" vertical="top" wrapText="1"/>
    </xf>
    <xf borderId="1" fillId="3" fontId="4" numFmtId="0" xfId="0" applyAlignment="1" applyBorder="1" applyFill="1" applyFont="1">
      <alignment horizontal="left" shrinkToFit="0" vertical="top" wrapText="1"/>
    </xf>
    <xf borderId="28" fillId="0" fontId="14" numFmtId="0" xfId="0" applyAlignment="1" applyBorder="1" applyFont="1">
      <alignment vertical="top"/>
    </xf>
    <xf borderId="13" fillId="3" fontId="4" numFmtId="0" xfId="0" applyAlignment="1" applyBorder="1" applyFill="1" applyFont="1">
      <alignment horizontal="left" shrinkToFit="0" vertical="top" wrapText="1"/>
    </xf>
    <xf borderId="4" fillId="3" fontId="1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0.0"/>
    <col customWidth="1" min="3" max="3" width="48.14"/>
    <col customWidth="1" min="4" max="4" width="41.71"/>
    <col customWidth="1" min="5" max="5" width="21.71"/>
    <col customWidth="1" min="6" max="6" width="60.14"/>
    <col customWidth="1" min="7" max="7" width="44.14"/>
    <col customWidth="1" min="8" max="8" width="40.29"/>
    <col customWidth="1" min="9" max="9" width="70.0"/>
    <col customWidth="1" min="10" max="27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4"/>
      <c r="E2" s="5" t="s">
        <v>1</v>
      </c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7" t="s">
        <v>2</v>
      </c>
      <c r="C4" s="1"/>
      <c r="D4" s="1"/>
      <c r="E4" s="1"/>
      <c r="F4" s="1"/>
      <c r="G4" s="1"/>
      <c r="H4" s="8" t="s">
        <v>3</v>
      </c>
      <c r="I4" s="8" t="s">
        <v>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9" t="s">
        <v>5</v>
      </c>
      <c r="C5" s="10" t="s">
        <v>6</v>
      </c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1" t="s">
        <v>7</v>
      </c>
      <c r="C6" s="12" t="s">
        <v>8</v>
      </c>
      <c r="D6" s="13"/>
      <c r="E6" s="13"/>
      <c r="F6" s="13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72.0" customHeight="1">
      <c r="A7" s="1"/>
      <c r="B7" s="9" t="s">
        <v>9</v>
      </c>
      <c r="C7" s="15" t="s">
        <v>10</v>
      </c>
      <c r="D7" s="3"/>
      <c r="E7" s="3"/>
      <c r="F7" s="3"/>
      <c r="G7" s="4"/>
      <c r="H7" s="16" t="s">
        <v>11</v>
      </c>
      <c r="I7" s="1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9" t="s">
        <v>13</v>
      </c>
      <c r="C8" s="10" t="s">
        <v>14</v>
      </c>
      <c r="D8" s="3"/>
      <c r="E8" s="3"/>
      <c r="F8" s="3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8.0" customHeight="1">
      <c r="A9" s="1"/>
      <c r="B9" s="9" t="s">
        <v>15</v>
      </c>
      <c r="C9" s="15" t="s">
        <v>16</v>
      </c>
      <c r="D9" s="3"/>
      <c r="E9" s="3"/>
      <c r="F9" s="3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05.0" customHeight="1">
      <c r="A10" s="1"/>
      <c r="B10" s="11" t="s">
        <v>17</v>
      </c>
      <c r="C10" s="17" t="s">
        <v>18</v>
      </c>
      <c r="D10" s="18"/>
      <c r="E10" s="18"/>
      <c r="F10" s="18"/>
      <c r="G10" s="19"/>
      <c r="H10" s="16" t="s">
        <v>19</v>
      </c>
      <c r="I10" s="16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9.0" customHeight="1">
      <c r="A11" s="1"/>
      <c r="B11" s="11" t="s">
        <v>21</v>
      </c>
      <c r="C11" s="17" t="s">
        <v>22</v>
      </c>
      <c r="D11" s="18"/>
      <c r="E11" s="18"/>
      <c r="F11" s="18"/>
      <c r="G11" s="19"/>
      <c r="H11" s="16" t="s">
        <v>23</v>
      </c>
      <c r="I11" s="16" t="s">
        <v>24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9" t="s">
        <v>25</v>
      </c>
      <c r="C12" s="10" t="s">
        <v>26</v>
      </c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05.0" customHeight="1">
      <c r="A13" s="1"/>
      <c r="B13" s="9" t="s">
        <v>27</v>
      </c>
      <c r="C13" s="15" t="s">
        <v>28</v>
      </c>
      <c r="D13" s="3"/>
      <c r="E13" s="3"/>
      <c r="F13" s="3"/>
      <c r="G13" s="4"/>
      <c r="H13" s="16" t="s">
        <v>23</v>
      </c>
      <c r="I13" s="16" t="s">
        <v>29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7" t="s">
        <v>30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55.5" customHeight="1">
      <c r="A16" s="1"/>
      <c r="B16" s="11" t="s">
        <v>31</v>
      </c>
      <c r="C16" s="20" t="s">
        <v>32</v>
      </c>
      <c r="D16" s="21" t="s">
        <v>33</v>
      </c>
      <c r="E16" s="3"/>
      <c r="F16" s="3"/>
      <c r="G16" s="4"/>
      <c r="H16" s="16" t="s">
        <v>19</v>
      </c>
      <c r="I16" s="16" t="s">
        <v>34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9.0" customHeight="1">
      <c r="A17" s="1"/>
      <c r="B17" s="22"/>
      <c r="C17" s="23" t="s">
        <v>35</v>
      </c>
      <c r="D17" s="24" t="s">
        <v>36</v>
      </c>
      <c r="E17" s="3"/>
      <c r="F17" s="3"/>
      <c r="G17" s="4"/>
      <c r="H17" s="16" t="s">
        <v>11</v>
      </c>
      <c r="I17" s="16" t="s">
        <v>37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9.0" customHeight="1">
      <c r="A18" s="1"/>
      <c r="B18" s="22"/>
      <c r="C18" s="20" t="s">
        <v>38</v>
      </c>
      <c r="D18" s="24" t="s">
        <v>39</v>
      </c>
      <c r="E18" s="3"/>
      <c r="F18" s="3"/>
      <c r="G18" s="4"/>
      <c r="H18" s="16" t="s">
        <v>19</v>
      </c>
      <c r="I18" s="16" t="s">
        <v>40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72.0" customHeight="1">
      <c r="A19" s="1"/>
      <c r="B19" s="25"/>
      <c r="C19" s="26" t="s">
        <v>41</v>
      </c>
      <c r="D19" s="27" t="s">
        <v>42</v>
      </c>
      <c r="E19" s="18"/>
      <c r="F19" s="18"/>
      <c r="G19" s="19"/>
      <c r="H19" s="16" t="s">
        <v>19</v>
      </c>
      <c r="I19" s="16" t="s">
        <v>43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21.5" customHeight="1">
      <c r="A20" s="1"/>
      <c r="B20" s="28"/>
      <c r="C20" s="29" t="s">
        <v>44</v>
      </c>
      <c r="D20" s="24" t="s">
        <v>45</v>
      </c>
      <c r="E20" s="3"/>
      <c r="F20" s="3"/>
      <c r="G20" s="4"/>
      <c r="H20" s="16" t="s">
        <v>19</v>
      </c>
      <c r="I20" s="16" t="s">
        <v>46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55.5" customHeight="1">
      <c r="A21" s="1"/>
      <c r="B21" s="30" t="s">
        <v>47</v>
      </c>
      <c r="C21" s="31"/>
      <c r="D21" s="32" t="s">
        <v>48</v>
      </c>
      <c r="E21" s="33"/>
      <c r="F21" s="33"/>
      <c r="G21" s="34"/>
      <c r="H21" s="16" t="s">
        <v>23</v>
      </c>
      <c r="I21" s="16" t="s">
        <v>49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38.0" customHeight="1">
      <c r="A22" s="1"/>
      <c r="B22" s="35" t="s">
        <v>50</v>
      </c>
      <c r="C22" s="36"/>
      <c r="D22" s="37" t="s">
        <v>51</v>
      </c>
      <c r="E22" s="18"/>
      <c r="F22" s="18"/>
      <c r="G22" s="19"/>
      <c r="H22" s="16" t="s">
        <v>19</v>
      </c>
      <c r="I22" s="16" t="s">
        <v>52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38" t="s">
        <v>53</v>
      </c>
      <c r="C23" s="39" t="s">
        <v>54</v>
      </c>
      <c r="D23" s="40" t="s">
        <v>55</v>
      </c>
      <c r="E23" s="13"/>
      <c r="F23" s="13"/>
      <c r="G23" s="1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55.5" customHeight="1">
      <c r="A24" s="1"/>
      <c r="B24" s="22"/>
      <c r="C24" s="41" t="s">
        <v>56</v>
      </c>
      <c r="D24" s="42" t="s">
        <v>57</v>
      </c>
      <c r="E24" s="18"/>
      <c r="F24" s="18"/>
      <c r="G24" s="19"/>
      <c r="H24" s="16" t="s">
        <v>11</v>
      </c>
      <c r="I24" s="16" t="s">
        <v>58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3"/>
      <c r="C25" s="41" t="s">
        <v>59</v>
      </c>
      <c r="D25" s="44" t="s">
        <v>60</v>
      </c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45" t="s">
        <v>61</v>
      </c>
      <c r="C26" s="4"/>
      <c r="D26" s="47" t="s">
        <v>63</v>
      </c>
      <c r="E26" s="3"/>
      <c r="F26" s="3"/>
      <c r="G26" s="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7" t="s">
        <v>64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39.0" customHeight="1">
      <c r="A29" s="1"/>
      <c r="B29" s="51" t="s">
        <v>65</v>
      </c>
      <c r="C29" s="51" t="s">
        <v>66</v>
      </c>
      <c r="D29" s="51" t="s">
        <v>67</v>
      </c>
      <c r="E29" s="51" t="s">
        <v>68</v>
      </c>
      <c r="F29" s="52" t="s">
        <v>69</v>
      </c>
      <c r="G29" s="1"/>
      <c r="H29" s="16" t="s">
        <v>11</v>
      </c>
      <c r="I29" s="16" t="s">
        <v>71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50"/>
      <c r="AA29" s="50"/>
    </row>
    <row r="30" ht="55.5" customHeight="1">
      <c r="A30" s="1"/>
      <c r="B30" s="54" t="s">
        <v>62</v>
      </c>
      <c r="C30" s="55" t="s">
        <v>73</v>
      </c>
      <c r="D30" s="55" t="s">
        <v>74</v>
      </c>
      <c r="E30" s="56" t="s">
        <v>75</v>
      </c>
      <c r="F30" s="55" t="s">
        <v>78</v>
      </c>
      <c r="G30" s="1"/>
      <c r="H30" s="16" t="s">
        <v>11</v>
      </c>
      <c r="I30" s="16" t="s">
        <v>80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50"/>
      <c r="AA30" s="50"/>
    </row>
    <row r="31" ht="52.5" customHeight="1">
      <c r="A31" s="1"/>
      <c r="B31" s="57" t="s">
        <v>81</v>
      </c>
      <c r="C31" s="55" t="s">
        <v>82</v>
      </c>
      <c r="D31" s="55" t="s">
        <v>84</v>
      </c>
      <c r="E31" s="55" t="s">
        <v>75</v>
      </c>
      <c r="F31" s="55" t="s">
        <v>85</v>
      </c>
      <c r="G31" s="1"/>
      <c r="H31" s="16" t="s">
        <v>19</v>
      </c>
      <c r="I31" s="16" t="s">
        <v>86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50"/>
      <c r="AA31" s="50"/>
    </row>
    <row r="32" ht="72.0" customHeight="1">
      <c r="A32" s="1"/>
      <c r="B32" s="54" t="s">
        <v>88</v>
      </c>
      <c r="C32" s="55" t="s">
        <v>89</v>
      </c>
      <c r="D32" s="55" t="s">
        <v>90</v>
      </c>
      <c r="E32" s="56" t="s">
        <v>91</v>
      </c>
      <c r="F32" s="55" t="s">
        <v>92</v>
      </c>
      <c r="G32" s="1"/>
      <c r="H32" s="16" t="s">
        <v>11</v>
      </c>
      <c r="I32" s="16" t="s">
        <v>93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50"/>
      <c r="AA32" s="50"/>
    </row>
    <row r="33" ht="55.5" customHeight="1">
      <c r="A33" s="1"/>
      <c r="B33" s="54" t="s">
        <v>95</v>
      </c>
      <c r="C33" s="55" t="s">
        <v>96</v>
      </c>
      <c r="D33" s="55" t="s">
        <v>97</v>
      </c>
      <c r="E33" s="56" t="s">
        <v>98</v>
      </c>
      <c r="F33" s="55" t="s">
        <v>99</v>
      </c>
      <c r="G33" s="1"/>
      <c r="H33" s="61" t="s">
        <v>11</v>
      </c>
      <c r="I33" s="16" t="s">
        <v>100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50"/>
      <c r="AA33" s="50"/>
    </row>
    <row r="34" ht="39.0" customHeight="1">
      <c r="A34" s="1"/>
      <c r="B34" s="54" t="s">
        <v>101</v>
      </c>
      <c r="C34" s="56" t="s">
        <v>102</v>
      </c>
      <c r="D34" s="55" t="s">
        <v>103</v>
      </c>
      <c r="E34" s="56" t="s">
        <v>98</v>
      </c>
      <c r="F34" s="55" t="s">
        <v>104</v>
      </c>
      <c r="G34" s="1"/>
      <c r="H34" s="61" t="s">
        <v>11</v>
      </c>
      <c r="I34" s="16" t="s">
        <v>105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50"/>
      <c r="AA34" s="50"/>
    </row>
    <row r="35" ht="22.5" customHeight="1">
      <c r="A35" s="1"/>
      <c r="B35" s="54" t="s">
        <v>108</v>
      </c>
      <c r="C35" s="56" t="s">
        <v>109</v>
      </c>
      <c r="D35" s="56" t="s">
        <v>110</v>
      </c>
      <c r="E35" s="56" t="s">
        <v>98</v>
      </c>
      <c r="F35" s="55" t="s">
        <v>113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50"/>
      <c r="AA35" s="50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7" t="s">
        <v>130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7" t="s">
        <v>148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70" t="s">
        <v>154</v>
      </c>
      <c r="C39" s="71" t="s">
        <v>160</v>
      </c>
      <c r="D39" s="72"/>
      <c r="E39" s="72"/>
      <c r="F39" s="72"/>
      <c r="G39" s="7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70" t="s">
        <v>163</v>
      </c>
      <c r="C40" s="71" t="s">
        <v>164</v>
      </c>
      <c r="D40" s="72"/>
      <c r="E40" s="72"/>
      <c r="F40" s="72"/>
      <c r="G40" s="7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70" t="s">
        <v>167</v>
      </c>
      <c r="C41" s="71" t="s">
        <v>168</v>
      </c>
      <c r="D41" s="72"/>
      <c r="E41" s="72"/>
      <c r="F41" s="72"/>
      <c r="G41" s="7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67" t="s">
        <v>171</v>
      </c>
      <c r="C43" s="67" t="s">
        <v>172</v>
      </c>
      <c r="D43" s="74" t="s">
        <v>173</v>
      </c>
      <c r="E43" s="67" t="s">
        <v>174</v>
      </c>
      <c r="F43" s="67" t="s">
        <v>175</v>
      </c>
      <c r="G43" s="67" t="s">
        <v>176</v>
      </c>
      <c r="H43" s="16" t="s">
        <v>23</v>
      </c>
      <c r="I43" s="16" t="s">
        <v>177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55.5" customHeight="1">
      <c r="A44" s="1"/>
      <c r="B44" s="75" t="s">
        <v>62</v>
      </c>
      <c r="C44" s="56" t="s">
        <v>106</v>
      </c>
      <c r="D44" s="55" t="s">
        <v>178</v>
      </c>
      <c r="E44" s="56" t="s">
        <v>179</v>
      </c>
      <c r="F44" s="55" t="s">
        <v>180</v>
      </c>
      <c r="G44" s="55" t="s">
        <v>129</v>
      </c>
      <c r="H44" s="16" t="s">
        <v>19</v>
      </c>
      <c r="I44" s="16" t="s">
        <v>181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55.5" customHeight="1">
      <c r="A45" s="1"/>
      <c r="B45" s="76"/>
      <c r="C45" s="56" t="s">
        <v>107</v>
      </c>
      <c r="D45" s="56" t="s">
        <v>182</v>
      </c>
      <c r="E45" s="56" t="s">
        <v>183</v>
      </c>
      <c r="F45" s="55" t="s">
        <v>184</v>
      </c>
      <c r="G45" s="55" t="s">
        <v>131</v>
      </c>
      <c r="H45" s="16" t="s">
        <v>11</v>
      </c>
      <c r="I45" s="16" t="s">
        <v>185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39.0" customHeight="1">
      <c r="A46" s="1"/>
      <c r="B46" s="76"/>
      <c r="C46" s="55" t="s">
        <v>111</v>
      </c>
      <c r="D46" s="56" t="s">
        <v>182</v>
      </c>
      <c r="E46" s="56" t="s">
        <v>186</v>
      </c>
      <c r="F46" s="55" t="s">
        <v>187</v>
      </c>
      <c r="G46" s="56" t="s">
        <v>132</v>
      </c>
      <c r="H46" s="16" t="s">
        <v>19</v>
      </c>
      <c r="I46" s="16" t="s">
        <v>188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39.0" customHeight="1">
      <c r="A47" s="1"/>
      <c r="B47" s="76"/>
      <c r="C47" s="55" t="s">
        <v>112</v>
      </c>
      <c r="D47" s="55" t="s">
        <v>182</v>
      </c>
      <c r="E47" s="55" t="s">
        <v>186</v>
      </c>
      <c r="F47" s="55" t="s">
        <v>189</v>
      </c>
      <c r="G47" s="55" t="s">
        <v>133</v>
      </c>
      <c r="H47" s="16" t="s">
        <v>19</v>
      </c>
      <c r="I47" s="16" t="s">
        <v>190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55.5" customHeight="1">
      <c r="A48" s="1"/>
      <c r="B48" s="76"/>
      <c r="C48" s="55" t="s">
        <v>114</v>
      </c>
      <c r="D48" s="56" t="s">
        <v>182</v>
      </c>
      <c r="E48" s="56" t="s">
        <v>186</v>
      </c>
      <c r="F48" s="55" t="s">
        <v>191</v>
      </c>
      <c r="G48" s="56" t="s">
        <v>134</v>
      </c>
      <c r="H48" s="16" t="s">
        <v>19</v>
      </c>
      <c r="I48" s="16" t="s">
        <v>192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39.0" customHeight="1">
      <c r="A49" s="1"/>
      <c r="B49" s="76"/>
      <c r="C49" s="55" t="s">
        <v>115</v>
      </c>
      <c r="D49" s="55" t="s">
        <v>182</v>
      </c>
      <c r="E49" s="55" t="s">
        <v>186</v>
      </c>
      <c r="F49" s="55" t="s">
        <v>193</v>
      </c>
      <c r="G49" s="55" t="s">
        <v>133</v>
      </c>
      <c r="H49" s="16" t="s">
        <v>19</v>
      </c>
      <c r="I49" s="16" t="s">
        <v>190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76"/>
      <c r="C50" s="56" t="s">
        <v>116</v>
      </c>
      <c r="D50" s="56" t="s">
        <v>182</v>
      </c>
      <c r="E50" s="56" t="s">
        <v>179</v>
      </c>
      <c r="F50" s="56" t="s">
        <v>194</v>
      </c>
      <c r="G50" s="56" t="s">
        <v>135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76"/>
      <c r="C51" s="56" t="s">
        <v>117</v>
      </c>
      <c r="D51" s="56" t="s">
        <v>195</v>
      </c>
      <c r="E51" s="56" t="s">
        <v>196</v>
      </c>
      <c r="F51" s="56" t="s">
        <v>197</v>
      </c>
      <c r="G51" s="56" t="s">
        <v>136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76"/>
      <c r="C52" s="56" t="s">
        <v>118</v>
      </c>
      <c r="D52" s="56" t="s">
        <v>182</v>
      </c>
      <c r="E52" s="56" t="s">
        <v>183</v>
      </c>
      <c r="F52" s="56" t="s">
        <v>198</v>
      </c>
      <c r="G52" s="56" t="s">
        <v>137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39.0" customHeight="1">
      <c r="A53" s="1"/>
      <c r="B53" s="76"/>
      <c r="C53" s="56" t="s">
        <v>119</v>
      </c>
      <c r="D53" s="56" t="s">
        <v>182</v>
      </c>
      <c r="E53" s="56" t="s">
        <v>255</v>
      </c>
      <c r="F53" s="55" t="s">
        <v>256</v>
      </c>
      <c r="G53" s="55" t="s">
        <v>138</v>
      </c>
      <c r="H53" s="16" t="s">
        <v>11</v>
      </c>
      <c r="I53" s="16" t="s">
        <v>257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76"/>
      <c r="C54" s="56" t="s">
        <v>120</v>
      </c>
      <c r="D54" s="56" t="s">
        <v>182</v>
      </c>
      <c r="E54" s="56" t="s">
        <v>258</v>
      </c>
      <c r="F54" s="56" t="s">
        <v>259</v>
      </c>
      <c r="G54" s="56" t="s">
        <v>139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39.0" customHeight="1">
      <c r="A55" s="1"/>
      <c r="B55" s="76"/>
      <c r="C55" s="56" t="s">
        <v>121</v>
      </c>
      <c r="D55" s="56" t="s">
        <v>182</v>
      </c>
      <c r="E55" s="56" t="s">
        <v>179</v>
      </c>
      <c r="F55" s="55" t="s">
        <v>260</v>
      </c>
      <c r="G55" s="55" t="s">
        <v>140</v>
      </c>
      <c r="H55" s="16" t="s">
        <v>11</v>
      </c>
      <c r="I55" s="16" t="s">
        <v>261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39.0" customHeight="1">
      <c r="A56" s="1"/>
      <c r="B56" s="76"/>
      <c r="C56" s="56" t="s">
        <v>122</v>
      </c>
      <c r="D56" s="56" t="s">
        <v>182</v>
      </c>
      <c r="E56" s="56" t="s">
        <v>183</v>
      </c>
      <c r="F56" s="55" t="s">
        <v>262</v>
      </c>
      <c r="G56" s="56" t="s">
        <v>141</v>
      </c>
      <c r="H56" s="16" t="s">
        <v>23</v>
      </c>
      <c r="I56" s="16" t="s">
        <v>263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55.5" customHeight="1">
      <c r="A57" s="1"/>
      <c r="B57" s="76"/>
      <c r="C57" s="56" t="s">
        <v>123</v>
      </c>
      <c r="D57" s="56" t="s">
        <v>264</v>
      </c>
      <c r="E57" s="56" t="s">
        <v>255</v>
      </c>
      <c r="F57" s="55" t="s">
        <v>265</v>
      </c>
      <c r="G57" s="56" t="s">
        <v>142</v>
      </c>
      <c r="H57" s="16" t="s">
        <v>11</v>
      </c>
      <c r="I57" s="16" t="s">
        <v>266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76"/>
      <c r="C58" s="56" t="s">
        <v>124</v>
      </c>
      <c r="D58" s="56" t="s">
        <v>267</v>
      </c>
      <c r="E58" s="55" t="s">
        <v>268</v>
      </c>
      <c r="F58" s="55" t="s">
        <v>269</v>
      </c>
      <c r="G58" s="56" t="s">
        <v>143</v>
      </c>
      <c r="H58" s="16" t="s">
        <v>19</v>
      </c>
      <c r="I58" s="16" t="s">
        <v>270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76"/>
      <c r="C59" s="56" t="s">
        <v>125</v>
      </c>
      <c r="D59" s="56" t="s">
        <v>271</v>
      </c>
      <c r="E59" s="56" t="s">
        <v>268</v>
      </c>
      <c r="F59" s="56" t="s">
        <v>272</v>
      </c>
      <c r="G59" s="56" t="s">
        <v>144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76"/>
      <c r="C60" s="56" t="s">
        <v>126</v>
      </c>
      <c r="D60" s="56" t="s">
        <v>273</v>
      </c>
      <c r="E60" s="56" t="s">
        <v>255</v>
      </c>
      <c r="F60" s="56" t="s">
        <v>274</v>
      </c>
      <c r="G60" s="56" t="s">
        <v>152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76"/>
      <c r="C61" s="56" t="s">
        <v>127</v>
      </c>
      <c r="D61" s="56" t="s">
        <v>275</v>
      </c>
      <c r="E61" s="56" t="s">
        <v>255</v>
      </c>
      <c r="F61" s="56" t="s">
        <v>276</v>
      </c>
      <c r="G61" s="56" t="s">
        <v>146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39.0" customHeight="1">
      <c r="A62" s="1"/>
      <c r="B62" s="76"/>
      <c r="C62" s="55" t="s">
        <v>128</v>
      </c>
      <c r="D62" s="55" t="s">
        <v>182</v>
      </c>
      <c r="E62" s="55" t="s">
        <v>277</v>
      </c>
      <c r="F62" s="55" t="s">
        <v>278</v>
      </c>
      <c r="G62" s="55" t="s">
        <v>147</v>
      </c>
      <c r="H62" s="16" t="s">
        <v>11</v>
      </c>
      <c r="I62" s="16" t="s">
        <v>279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39.0" customHeight="1">
      <c r="A63" s="1"/>
      <c r="B63" s="85" t="s">
        <v>81</v>
      </c>
      <c r="C63" s="55" t="s">
        <v>203</v>
      </c>
      <c r="D63" s="55" t="s">
        <v>280</v>
      </c>
      <c r="E63" s="55" t="s">
        <v>179</v>
      </c>
      <c r="F63" s="55" t="s">
        <v>281</v>
      </c>
      <c r="G63" s="55" t="s">
        <v>208</v>
      </c>
      <c r="H63" s="16" t="s">
        <v>19</v>
      </c>
      <c r="I63" s="16" t="s">
        <v>282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2.5" customHeight="1">
      <c r="A64" s="1"/>
      <c r="B64" s="76"/>
      <c r="C64" s="55" t="s">
        <v>204</v>
      </c>
      <c r="D64" s="55" t="s">
        <v>182</v>
      </c>
      <c r="E64" s="55" t="s">
        <v>179</v>
      </c>
      <c r="F64" s="55" t="s">
        <v>283</v>
      </c>
      <c r="G64" s="55" t="s">
        <v>129</v>
      </c>
      <c r="H64" s="16"/>
      <c r="I64" s="1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2.5" customHeight="1">
      <c r="A65" s="1"/>
      <c r="B65" s="76"/>
      <c r="C65" s="55" t="s">
        <v>205</v>
      </c>
      <c r="D65" s="55" t="s">
        <v>182</v>
      </c>
      <c r="E65" s="55" t="s">
        <v>179</v>
      </c>
      <c r="F65" s="55" t="s">
        <v>284</v>
      </c>
      <c r="G65" s="55" t="s">
        <v>165</v>
      </c>
      <c r="H65" s="16"/>
      <c r="I65" s="1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55.5" customHeight="1">
      <c r="A66" s="1"/>
      <c r="B66" s="76"/>
      <c r="C66" s="55" t="s">
        <v>206</v>
      </c>
      <c r="D66" s="55" t="s">
        <v>285</v>
      </c>
      <c r="E66" s="55" t="s">
        <v>255</v>
      </c>
      <c r="F66" s="55" t="s">
        <v>286</v>
      </c>
      <c r="G66" s="55" t="s">
        <v>287</v>
      </c>
      <c r="H66" s="16" t="s">
        <v>19</v>
      </c>
      <c r="I66" s="16" t="s">
        <v>288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22.5" customHeight="1">
      <c r="A67" s="1"/>
      <c r="B67" s="76"/>
      <c r="C67" s="55" t="s">
        <v>207</v>
      </c>
      <c r="D67" s="55" t="s">
        <v>182</v>
      </c>
      <c r="E67" s="55" t="s">
        <v>186</v>
      </c>
      <c r="F67" s="55" t="s">
        <v>289</v>
      </c>
      <c r="G67" s="55" t="s">
        <v>211</v>
      </c>
      <c r="H67" s="16"/>
      <c r="I67" s="1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39.0" customHeight="1">
      <c r="A68" s="1"/>
      <c r="B68" s="76"/>
      <c r="C68" s="55" t="s">
        <v>114</v>
      </c>
      <c r="D68" s="55" t="s">
        <v>182</v>
      </c>
      <c r="E68" s="55" t="s">
        <v>186</v>
      </c>
      <c r="F68" s="55" t="s">
        <v>290</v>
      </c>
      <c r="G68" s="55" t="s">
        <v>212</v>
      </c>
      <c r="H68" s="16"/>
      <c r="I68" s="1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39.0" customHeight="1">
      <c r="A69" s="1"/>
      <c r="B69" s="76"/>
      <c r="C69" s="55" t="s">
        <v>115</v>
      </c>
      <c r="D69" s="55" t="s">
        <v>182</v>
      </c>
      <c r="E69" s="55" t="s">
        <v>186</v>
      </c>
      <c r="F69" s="55" t="s">
        <v>291</v>
      </c>
      <c r="G69" s="55" t="s">
        <v>133</v>
      </c>
      <c r="H69" s="16"/>
      <c r="I69" s="1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39.0" customHeight="1">
      <c r="A70" s="1"/>
      <c r="B70" s="76"/>
      <c r="C70" s="55" t="s">
        <v>128</v>
      </c>
      <c r="D70" s="55" t="s">
        <v>182</v>
      </c>
      <c r="E70" s="55" t="s">
        <v>277</v>
      </c>
      <c r="F70" s="55" t="s">
        <v>292</v>
      </c>
      <c r="G70" s="55" t="s">
        <v>213</v>
      </c>
      <c r="H70" s="16" t="s">
        <v>11</v>
      </c>
      <c r="I70" s="16" t="s">
        <v>293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39.0" customHeight="1">
      <c r="A71" s="1"/>
      <c r="B71" s="75" t="s">
        <v>88</v>
      </c>
      <c r="C71" s="56" t="s">
        <v>106</v>
      </c>
      <c r="D71" s="55" t="s">
        <v>178</v>
      </c>
      <c r="E71" s="56" t="s">
        <v>179</v>
      </c>
      <c r="F71" s="55" t="s">
        <v>294</v>
      </c>
      <c r="G71" s="55" t="s">
        <v>250</v>
      </c>
      <c r="H71" s="16" t="s">
        <v>23</v>
      </c>
      <c r="I71" s="16" t="s">
        <v>295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55.5" customHeight="1">
      <c r="A72" s="1"/>
      <c r="B72" s="76"/>
      <c r="C72" s="56" t="s">
        <v>216</v>
      </c>
      <c r="D72" s="56" t="s">
        <v>182</v>
      </c>
      <c r="E72" s="56" t="s">
        <v>296</v>
      </c>
      <c r="F72" s="55" t="s">
        <v>297</v>
      </c>
      <c r="G72" s="56" t="s">
        <v>228</v>
      </c>
      <c r="H72" s="16" t="s">
        <v>23</v>
      </c>
      <c r="I72" s="16" t="s">
        <v>298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55.5" customHeight="1">
      <c r="A73" s="1"/>
      <c r="B73" s="76"/>
      <c r="C73" s="55" t="s">
        <v>114</v>
      </c>
      <c r="D73" s="56" t="s">
        <v>182</v>
      </c>
      <c r="E73" s="56" t="s">
        <v>186</v>
      </c>
      <c r="F73" s="55" t="s">
        <v>299</v>
      </c>
      <c r="G73" s="56" t="s">
        <v>229</v>
      </c>
      <c r="H73" s="16" t="s">
        <v>19</v>
      </c>
      <c r="I73" s="16" t="s">
        <v>300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39.0" customHeight="1">
      <c r="A74" s="1"/>
      <c r="B74" s="76"/>
      <c r="C74" s="55" t="s">
        <v>115</v>
      </c>
      <c r="D74" s="55" t="s">
        <v>182</v>
      </c>
      <c r="E74" s="55" t="s">
        <v>186</v>
      </c>
      <c r="F74" s="55" t="s">
        <v>301</v>
      </c>
      <c r="G74" s="55" t="s">
        <v>133</v>
      </c>
      <c r="H74" s="16" t="s">
        <v>19</v>
      </c>
      <c r="I74" s="16" t="s">
        <v>302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39.0" customHeight="1">
      <c r="A75" s="1"/>
      <c r="B75" s="76"/>
      <c r="C75" s="55" t="s">
        <v>128</v>
      </c>
      <c r="D75" s="55" t="s">
        <v>182</v>
      </c>
      <c r="E75" s="55" t="s">
        <v>277</v>
      </c>
      <c r="F75" s="55" t="s">
        <v>303</v>
      </c>
      <c r="G75" s="55" t="s">
        <v>230</v>
      </c>
      <c r="H75" s="16" t="s">
        <v>11</v>
      </c>
      <c r="I75" s="16" t="s">
        <v>304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76"/>
      <c r="C76" s="56" t="s">
        <v>217</v>
      </c>
      <c r="D76" s="56" t="s">
        <v>182</v>
      </c>
      <c r="E76" s="56" t="s">
        <v>186</v>
      </c>
      <c r="F76" s="56" t="s">
        <v>305</v>
      </c>
      <c r="G76" s="56" t="s">
        <v>231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39.0" customHeight="1">
      <c r="A77" s="1"/>
      <c r="B77" s="76"/>
      <c r="C77" s="56" t="s">
        <v>248</v>
      </c>
      <c r="D77" s="56" t="s">
        <v>306</v>
      </c>
      <c r="E77" s="56" t="s">
        <v>307</v>
      </c>
      <c r="F77" s="55" t="s">
        <v>308</v>
      </c>
      <c r="G77" s="56" t="s">
        <v>309</v>
      </c>
      <c r="H77" s="16" t="s">
        <v>23</v>
      </c>
      <c r="I77" s="16" t="s">
        <v>310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76"/>
      <c r="C78" s="56" t="s">
        <v>220</v>
      </c>
      <c r="D78" s="56" t="s">
        <v>311</v>
      </c>
      <c r="E78" s="56" t="s">
        <v>312</v>
      </c>
      <c r="F78" s="56" t="s">
        <v>313</v>
      </c>
      <c r="G78" s="56" t="s">
        <v>233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76"/>
      <c r="C79" s="56" t="s">
        <v>221</v>
      </c>
      <c r="D79" s="56" t="s">
        <v>314</v>
      </c>
      <c r="E79" s="56" t="s">
        <v>315</v>
      </c>
      <c r="F79" s="56" t="s">
        <v>316</v>
      </c>
      <c r="G79" s="56" t="s">
        <v>234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39.0" customHeight="1">
      <c r="A80" s="1"/>
      <c r="B80" s="76"/>
      <c r="C80" s="56" t="s">
        <v>107</v>
      </c>
      <c r="D80" s="56" t="s">
        <v>182</v>
      </c>
      <c r="E80" s="56" t="s">
        <v>183</v>
      </c>
      <c r="F80" s="55" t="s">
        <v>317</v>
      </c>
      <c r="G80" s="55" t="s">
        <v>131</v>
      </c>
      <c r="H80" s="16" t="s">
        <v>23</v>
      </c>
      <c r="I80" s="16" t="s">
        <v>318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88.5" customHeight="1">
      <c r="A81" s="1"/>
      <c r="B81" s="76"/>
      <c r="C81" s="55" t="s">
        <v>225</v>
      </c>
      <c r="D81" s="56" t="s">
        <v>319</v>
      </c>
      <c r="E81" s="56" t="s">
        <v>196</v>
      </c>
      <c r="F81" s="55" t="s">
        <v>320</v>
      </c>
      <c r="G81" s="56" t="s">
        <v>237</v>
      </c>
      <c r="H81" s="16" t="s">
        <v>23</v>
      </c>
      <c r="I81" s="16" t="s">
        <v>321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55.5" customHeight="1">
      <c r="A82" s="1"/>
      <c r="B82" s="76"/>
      <c r="C82" s="56" t="s">
        <v>249</v>
      </c>
      <c r="D82" s="56" t="s">
        <v>182</v>
      </c>
      <c r="E82" s="56" t="s">
        <v>322</v>
      </c>
      <c r="F82" s="55" t="s">
        <v>323</v>
      </c>
      <c r="G82" s="56" t="s">
        <v>324</v>
      </c>
      <c r="H82" s="16" t="s">
        <v>11</v>
      </c>
      <c r="I82" s="16" t="s">
        <v>325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55.5" customHeight="1">
      <c r="A83" s="1"/>
      <c r="B83" s="75" t="s">
        <v>95</v>
      </c>
      <c r="C83" s="56" t="s">
        <v>106</v>
      </c>
      <c r="D83" s="55" t="s">
        <v>178</v>
      </c>
      <c r="E83" s="56" t="s">
        <v>179</v>
      </c>
      <c r="F83" s="55" t="s">
        <v>326</v>
      </c>
      <c r="G83" s="55" t="s">
        <v>227</v>
      </c>
      <c r="H83" s="16" t="s">
        <v>19</v>
      </c>
      <c r="I83" s="16" t="s">
        <v>327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55.5" customHeight="1">
      <c r="A84" s="1"/>
      <c r="B84" s="76"/>
      <c r="C84" s="56" t="s">
        <v>216</v>
      </c>
      <c r="D84" s="56" t="s">
        <v>182</v>
      </c>
      <c r="E84" s="56" t="s">
        <v>296</v>
      </c>
      <c r="F84" s="55" t="s">
        <v>328</v>
      </c>
      <c r="G84" s="56" t="s">
        <v>228</v>
      </c>
      <c r="H84" s="61" t="s">
        <v>23</v>
      </c>
      <c r="I84" s="16" t="s">
        <v>329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39.0" customHeight="1">
      <c r="A85" s="1"/>
      <c r="B85" s="76"/>
      <c r="C85" s="55" t="s">
        <v>114</v>
      </c>
      <c r="D85" s="56" t="s">
        <v>182</v>
      </c>
      <c r="E85" s="56" t="s">
        <v>186</v>
      </c>
      <c r="F85" s="55" t="s">
        <v>299</v>
      </c>
      <c r="G85" s="56" t="s">
        <v>229</v>
      </c>
      <c r="H85" s="61" t="s">
        <v>19</v>
      </c>
      <c r="I85" s="16" t="s">
        <v>330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39.0" customHeight="1">
      <c r="A86" s="1"/>
      <c r="B86" s="76"/>
      <c r="C86" s="55" t="s">
        <v>115</v>
      </c>
      <c r="D86" s="55" t="s">
        <v>182</v>
      </c>
      <c r="E86" s="55" t="s">
        <v>186</v>
      </c>
      <c r="F86" s="55" t="s">
        <v>301</v>
      </c>
      <c r="G86" s="55" t="s">
        <v>133</v>
      </c>
      <c r="H86" s="61" t="s">
        <v>19</v>
      </c>
      <c r="I86" s="16" t="s">
        <v>331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39.0" customHeight="1">
      <c r="A87" s="1"/>
      <c r="B87" s="76"/>
      <c r="C87" s="55" t="s">
        <v>128</v>
      </c>
      <c r="D87" s="55" t="s">
        <v>182</v>
      </c>
      <c r="E87" s="55" t="s">
        <v>277</v>
      </c>
      <c r="F87" s="55" t="s">
        <v>303</v>
      </c>
      <c r="G87" s="55" t="s">
        <v>230</v>
      </c>
      <c r="H87" s="61" t="s">
        <v>19</v>
      </c>
      <c r="I87" s="16" t="s">
        <v>331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76"/>
      <c r="C88" s="56" t="s">
        <v>217</v>
      </c>
      <c r="D88" s="56" t="s">
        <v>182</v>
      </c>
      <c r="E88" s="56" t="s">
        <v>186</v>
      </c>
      <c r="F88" s="56" t="s">
        <v>332</v>
      </c>
      <c r="G88" s="56" t="s">
        <v>231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76"/>
      <c r="C89" s="56" t="s">
        <v>218</v>
      </c>
      <c r="D89" s="56" t="s">
        <v>306</v>
      </c>
      <c r="E89" s="56" t="s">
        <v>307</v>
      </c>
      <c r="F89" s="56" t="s">
        <v>333</v>
      </c>
      <c r="G89" s="56" t="s">
        <v>309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1.5" customHeight="1">
      <c r="A90" s="1"/>
      <c r="B90" s="76"/>
      <c r="C90" s="56" t="s">
        <v>219</v>
      </c>
      <c r="D90" s="56" t="s">
        <v>334</v>
      </c>
      <c r="E90" s="56" t="s">
        <v>196</v>
      </c>
      <c r="F90" s="55" t="s">
        <v>335</v>
      </c>
      <c r="G90" s="56" t="s">
        <v>232</v>
      </c>
      <c r="H90" s="61" t="s">
        <v>23</v>
      </c>
      <c r="I90" s="16" t="s">
        <v>336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76"/>
      <c r="C91" s="56" t="s">
        <v>220</v>
      </c>
      <c r="D91" s="56" t="s">
        <v>311</v>
      </c>
      <c r="E91" s="56" t="s">
        <v>312</v>
      </c>
      <c r="F91" s="56" t="s">
        <v>313</v>
      </c>
      <c r="G91" s="56" t="s">
        <v>233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76"/>
      <c r="C92" s="56" t="s">
        <v>221</v>
      </c>
      <c r="D92" s="56" t="s">
        <v>314</v>
      </c>
      <c r="E92" s="56" t="s">
        <v>315</v>
      </c>
      <c r="F92" s="56" t="s">
        <v>316</v>
      </c>
      <c r="G92" s="56" t="s">
        <v>234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76"/>
      <c r="C93" s="56" t="s">
        <v>107</v>
      </c>
      <c r="D93" s="56" t="s">
        <v>182</v>
      </c>
      <c r="E93" s="56" t="s">
        <v>183</v>
      </c>
      <c r="F93" s="56" t="s">
        <v>337</v>
      </c>
      <c r="G93" s="55" t="s">
        <v>166</v>
      </c>
      <c r="H93" s="16" t="s">
        <v>23</v>
      </c>
      <c r="I93" s="16" t="s">
        <v>338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55.5" customHeight="1">
      <c r="A94" s="1"/>
      <c r="B94" s="76"/>
      <c r="C94" s="55" t="s">
        <v>222</v>
      </c>
      <c r="D94" s="55" t="s">
        <v>339</v>
      </c>
      <c r="E94" s="55" t="s">
        <v>255</v>
      </c>
      <c r="F94" s="55" t="s">
        <v>340</v>
      </c>
      <c r="G94" s="55" t="s">
        <v>87</v>
      </c>
      <c r="H94" s="16" t="s">
        <v>19</v>
      </c>
      <c r="I94" s="16" t="s">
        <v>341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39.0" customHeight="1">
      <c r="A95" s="1"/>
      <c r="B95" s="76"/>
      <c r="C95" s="55" t="s">
        <v>223</v>
      </c>
      <c r="D95" s="55" t="s">
        <v>342</v>
      </c>
      <c r="E95" s="55" t="s">
        <v>268</v>
      </c>
      <c r="F95" s="55" t="s">
        <v>343</v>
      </c>
      <c r="G95" s="55" t="s">
        <v>235</v>
      </c>
      <c r="H95" s="16" t="s">
        <v>19</v>
      </c>
      <c r="I95" s="16" t="s">
        <v>344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8.0" customHeight="1">
      <c r="A96" s="1"/>
      <c r="B96" s="76"/>
      <c r="C96" s="55" t="s">
        <v>224</v>
      </c>
      <c r="D96" s="55" t="s">
        <v>345</v>
      </c>
      <c r="E96" s="55" t="s">
        <v>255</v>
      </c>
      <c r="F96" s="55" t="s">
        <v>346</v>
      </c>
      <c r="G96" s="55" t="s">
        <v>236</v>
      </c>
      <c r="H96" s="16" t="s">
        <v>19</v>
      </c>
      <c r="I96" s="16" t="s">
        <v>347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88.5" customHeight="1">
      <c r="A97" s="1"/>
      <c r="B97" s="76"/>
      <c r="C97" s="55" t="s">
        <v>225</v>
      </c>
      <c r="D97" s="56" t="s">
        <v>319</v>
      </c>
      <c r="E97" s="56" t="s">
        <v>196</v>
      </c>
      <c r="F97" s="55" t="s">
        <v>348</v>
      </c>
      <c r="G97" s="56" t="s">
        <v>237</v>
      </c>
      <c r="H97" s="16" t="s">
        <v>23</v>
      </c>
      <c r="I97" s="16" t="s">
        <v>349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76"/>
      <c r="C98" s="56" t="s">
        <v>226</v>
      </c>
      <c r="D98" s="56" t="s">
        <v>182</v>
      </c>
      <c r="E98" s="56" t="s">
        <v>322</v>
      </c>
      <c r="F98" s="56" t="s">
        <v>350</v>
      </c>
      <c r="G98" s="56" t="s">
        <v>351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55.5" customHeight="1">
      <c r="A99" s="1"/>
      <c r="B99" s="75" t="s">
        <v>101</v>
      </c>
      <c r="C99" s="56" t="s">
        <v>106</v>
      </c>
      <c r="D99" s="55" t="s">
        <v>178</v>
      </c>
      <c r="E99" s="56" t="s">
        <v>179</v>
      </c>
      <c r="F99" s="55" t="s">
        <v>352</v>
      </c>
      <c r="G99" s="55" t="s">
        <v>353</v>
      </c>
      <c r="H99" s="16" t="s">
        <v>19</v>
      </c>
      <c r="I99" s="16" t="s">
        <v>327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55.5" customHeight="1">
      <c r="A100" s="1"/>
      <c r="B100" s="76"/>
      <c r="C100" s="56" t="s">
        <v>216</v>
      </c>
      <c r="D100" s="56" t="s">
        <v>182</v>
      </c>
      <c r="E100" s="56" t="s">
        <v>296</v>
      </c>
      <c r="F100" s="55" t="s">
        <v>354</v>
      </c>
      <c r="G100" s="56" t="s">
        <v>355</v>
      </c>
      <c r="H100" s="61" t="s">
        <v>23</v>
      </c>
      <c r="I100" s="16" t="s">
        <v>329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39.0" customHeight="1">
      <c r="A101" s="1"/>
      <c r="B101" s="76"/>
      <c r="C101" s="55" t="s">
        <v>114</v>
      </c>
      <c r="D101" s="56" t="s">
        <v>182</v>
      </c>
      <c r="E101" s="56" t="s">
        <v>186</v>
      </c>
      <c r="F101" s="55" t="s">
        <v>299</v>
      </c>
      <c r="G101" s="56" t="s">
        <v>229</v>
      </c>
      <c r="H101" s="61" t="s">
        <v>19</v>
      </c>
      <c r="I101" s="16" t="s">
        <v>330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39.0" customHeight="1">
      <c r="A102" s="1"/>
      <c r="B102" s="76"/>
      <c r="C102" s="55" t="s">
        <v>115</v>
      </c>
      <c r="D102" s="55" t="s">
        <v>182</v>
      </c>
      <c r="E102" s="55" t="s">
        <v>186</v>
      </c>
      <c r="F102" s="55" t="s">
        <v>301</v>
      </c>
      <c r="G102" s="55" t="s">
        <v>133</v>
      </c>
      <c r="H102" s="61" t="s">
        <v>19</v>
      </c>
      <c r="I102" s="16" t="s">
        <v>331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39.0" customHeight="1">
      <c r="A103" s="1"/>
      <c r="B103" s="76"/>
      <c r="C103" s="55" t="s">
        <v>128</v>
      </c>
      <c r="D103" s="55" t="s">
        <v>182</v>
      </c>
      <c r="E103" s="55" t="s">
        <v>277</v>
      </c>
      <c r="F103" s="55" t="s">
        <v>303</v>
      </c>
      <c r="G103" s="55" t="s">
        <v>230</v>
      </c>
      <c r="H103" s="61" t="s">
        <v>19</v>
      </c>
      <c r="I103" s="16" t="s">
        <v>331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76"/>
      <c r="C104" s="56" t="s">
        <v>217</v>
      </c>
      <c r="D104" s="56" t="s">
        <v>182</v>
      </c>
      <c r="E104" s="56" t="s">
        <v>186</v>
      </c>
      <c r="F104" s="56" t="s">
        <v>356</v>
      </c>
      <c r="G104" s="56" t="s">
        <v>231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76"/>
      <c r="C105" s="56" t="s">
        <v>248</v>
      </c>
      <c r="D105" s="56" t="s">
        <v>306</v>
      </c>
      <c r="E105" s="56" t="s">
        <v>307</v>
      </c>
      <c r="F105" s="56" t="s">
        <v>357</v>
      </c>
      <c r="G105" s="56" t="s">
        <v>358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76"/>
      <c r="C106" s="56" t="s">
        <v>220</v>
      </c>
      <c r="D106" s="56" t="s">
        <v>311</v>
      </c>
      <c r="E106" s="56" t="s">
        <v>312</v>
      </c>
      <c r="F106" s="56" t="s">
        <v>313</v>
      </c>
      <c r="G106" s="56" t="s">
        <v>233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76"/>
      <c r="C107" s="56" t="s">
        <v>221</v>
      </c>
      <c r="D107" s="56" t="s">
        <v>314</v>
      </c>
      <c r="E107" s="56" t="s">
        <v>315</v>
      </c>
      <c r="F107" s="56" t="s">
        <v>316</v>
      </c>
      <c r="G107" s="56" t="s">
        <v>234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88.5" customHeight="1">
      <c r="A108" s="1"/>
      <c r="B108" s="76"/>
      <c r="C108" s="56" t="s">
        <v>107</v>
      </c>
      <c r="D108" s="56" t="s">
        <v>182</v>
      </c>
      <c r="E108" s="56" t="s">
        <v>183</v>
      </c>
      <c r="F108" s="55" t="s">
        <v>317</v>
      </c>
      <c r="G108" s="55" t="s">
        <v>131</v>
      </c>
      <c r="H108" s="16" t="s">
        <v>23</v>
      </c>
      <c r="I108" s="16" t="s">
        <v>359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55.5" customHeight="1">
      <c r="A109" s="1"/>
      <c r="B109" s="76"/>
      <c r="C109" s="56" t="s">
        <v>360</v>
      </c>
      <c r="D109" s="56" t="s">
        <v>182</v>
      </c>
      <c r="E109" s="56" t="s">
        <v>361</v>
      </c>
      <c r="F109" s="55" t="s">
        <v>362</v>
      </c>
      <c r="G109" s="56" t="s">
        <v>363</v>
      </c>
      <c r="H109" s="61" t="s">
        <v>23</v>
      </c>
      <c r="I109" s="16" t="s">
        <v>364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8.0" customHeight="1">
      <c r="A110" s="1"/>
      <c r="B110" s="76"/>
      <c r="C110" s="56" t="s">
        <v>365</v>
      </c>
      <c r="D110" s="56" t="s">
        <v>366</v>
      </c>
      <c r="E110" s="56" t="s">
        <v>361</v>
      </c>
      <c r="F110" s="55" t="s">
        <v>367</v>
      </c>
      <c r="G110" s="55" t="s">
        <v>368</v>
      </c>
      <c r="H110" s="61" t="s">
        <v>23</v>
      </c>
      <c r="I110" s="16" t="s">
        <v>369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55.5" customHeight="1">
      <c r="A111" s="1"/>
      <c r="B111" s="76"/>
      <c r="C111" s="55" t="s">
        <v>222</v>
      </c>
      <c r="D111" s="55" t="s">
        <v>339</v>
      </c>
      <c r="E111" s="55" t="s">
        <v>255</v>
      </c>
      <c r="F111" s="55" t="s">
        <v>340</v>
      </c>
      <c r="G111" s="55" t="s">
        <v>87</v>
      </c>
      <c r="H111" s="61" t="s">
        <v>19</v>
      </c>
      <c r="I111" s="16" t="s">
        <v>370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22.5" customHeight="1">
      <c r="A112" s="1"/>
      <c r="B112" s="76"/>
      <c r="C112" s="55" t="s">
        <v>223</v>
      </c>
      <c r="D112" s="55" t="s">
        <v>371</v>
      </c>
      <c r="E112" s="55" t="s">
        <v>268</v>
      </c>
      <c r="F112" s="55" t="s">
        <v>372</v>
      </c>
      <c r="G112" s="55" t="s">
        <v>235</v>
      </c>
      <c r="H112" s="61" t="s">
        <v>19</v>
      </c>
      <c r="I112" s="16" t="s">
        <v>373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39.0" customHeight="1">
      <c r="A113" s="1"/>
      <c r="B113" s="76"/>
      <c r="C113" s="55" t="s">
        <v>224</v>
      </c>
      <c r="D113" s="55" t="s">
        <v>87</v>
      </c>
      <c r="E113" s="55" t="s">
        <v>255</v>
      </c>
      <c r="F113" s="55" t="s">
        <v>346</v>
      </c>
      <c r="G113" s="55" t="s">
        <v>236</v>
      </c>
      <c r="H113" s="61" t="s">
        <v>19</v>
      </c>
      <c r="I113" s="16" t="s">
        <v>374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72.0" customHeight="1">
      <c r="A114" s="1"/>
      <c r="B114" s="86"/>
      <c r="C114" s="55" t="s">
        <v>375</v>
      </c>
      <c r="D114" s="56" t="s">
        <v>182</v>
      </c>
      <c r="E114" s="56" t="s">
        <v>322</v>
      </c>
      <c r="F114" s="55" t="s">
        <v>376</v>
      </c>
      <c r="G114" s="56" t="s">
        <v>377</v>
      </c>
      <c r="H114" s="61" t="s">
        <v>19</v>
      </c>
      <c r="I114" s="16" t="s">
        <v>378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55.5" customHeight="1">
      <c r="A115" s="1"/>
      <c r="B115" s="75" t="s">
        <v>108</v>
      </c>
      <c r="C115" s="56" t="s">
        <v>106</v>
      </c>
      <c r="D115" s="55" t="s">
        <v>178</v>
      </c>
      <c r="E115" s="56" t="s">
        <v>179</v>
      </c>
      <c r="F115" s="55" t="s">
        <v>379</v>
      </c>
      <c r="G115" s="55" t="s">
        <v>380</v>
      </c>
      <c r="H115" s="16" t="s">
        <v>19</v>
      </c>
      <c r="I115" s="16" t="s">
        <v>327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76"/>
      <c r="C116" s="56" t="s">
        <v>216</v>
      </c>
      <c r="D116" s="56" t="s">
        <v>182</v>
      </c>
      <c r="E116" s="56" t="s">
        <v>296</v>
      </c>
      <c r="F116" s="56" t="s">
        <v>381</v>
      </c>
      <c r="G116" s="56" t="s">
        <v>382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39.0" customHeight="1">
      <c r="A117" s="1"/>
      <c r="B117" s="76"/>
      <c r="C117" s="55" t="s">
        <v>114</v>
      </c>
      <c r="D117" s="56" t="s">
        <v>182</v>
      </c>
      <c r="E117" s="56" t="s">
        <v>186</v>
      </c>
      <c r="F117" s="55" t="s">
        <v>299</v>
      </c>
      <c r="G117" s="56" t="s">
        <v>229</v>
      </c>
      <c r="H117" s="61" t="s">
        <v>19</v>
      </c>
      <c r="I117" s="16" t="s">
        <v>330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39.0" customHeight="1">
      <c r="A118" s="1"/>
      <c r="B118" s="76"/>
      <c r="C118" s="55" t="s">
        <v>115</v>
      </c>
      <c r="D118" s="55" t="s">
        <v>182</v>
      </c>
      <c r="E118" s="55" t="s">
        <v>186</v>
      </c>
      <c r="F118" s="55" t="s">
        <v>301</v>
      </c>
      <c r="G118" s="55" t="s">
        <v>133</v>
      </c>
      <c r="H118" s="61" t="s">
        <v>19</v>
      </c>
      <c r="I118" s="16" t="s">
        <v>331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39.0" customHeight="1">
      <c r="A119" s="1"/>
      <c r="B119" s="76"/>
      <c r="C119" s="55" t="s">
        <v>128</v>
      </c>
      <c r="D119" s="55" t="s">
        <v>182</v>
      </c>
      <c r="E119" s="55" t="s">
        <v>277</v>
      </c>
      <c r="F119" s="55" t="s">
        <v>303</v>
      </c>
      <c r="G119" s="55" t="s">
        <v>230</v>
      </c>
      <c r="H119" s="61" t="s">
        <v>19</v>
      </c>
      <c r="I119" s="16" t="s">
        <v>331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76"/>
      <c r="C120" s="56" t="s">
        <v>217</v>
      </c>
      <c r="D120" s="56" t="s">
        <v>182</v>
      </c>
      <c r="E120" s="56" t="s">
        <v>186</v>
      </c>
      <c r="F120" s="56" t="s">
        <v>383</v>
      </c>
      <c r="G120" s="56" t="s">
        <v>231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76"/>
      <c r="C121" s="56" t="s">
        <v>248</v>
      </c>
      <c r="D121" s="56" t="s">
        <v>306</v>
      </c>
      <c r="E121" s="56" t="s">
        <v>307</v>
      </c>
      <c r="F121" s="56" t="s">
        <v>384</v>
      </c>
      <c r="G121" s="56" t="s">
        <v>385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76"/>
      <c r="C122" s="56" t="s">
        <v>220</v>
      </c>
      <c r="D122" s="56" t="s">
        <v>311</v>
      </c>
      <c r="E122" s="56" t="s">
        <v>312</v>
      </c>
      <c r="F122" s="56" t="s">
        <v>386</v>
      </c>
      <c r="G122" s="56" t="s">
        <v>233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76"/>
      <c r="C123" s="56" t="s">
        <v>221</v>
      </c>
      <c r="D123" s="56" t="s">
        <v>314</v>
      </c>
      <c r="E123" s="56" t="s">
        <v>315</v>
      </c>
      <c r="F123" s="56" t="s">
        <v>387</v>
      </c>
      <c r="G123" s="56" t="s">
        <v>234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76"/>
      <c r="C124" s="56" t="s">
        <v>107</v>
      </c>
      <c r="D124" s="56" t="s">
        <v>182</v>
      </c>
      <c r="E124" s="56" t="s">
        <v>183</v>
      </c>
      <c r="F124" s="56" t="s">
        <v>388</v>
      </c>
      <c r="G124" s="55" t="s">
        <v>131</v>
      </c>
      <c r="H124" s="16" t="s">
        <v>23</v>
      </c>
      <c r="I124" s="16" t="s">
        <v>338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76"/>
      <c r="C125" s="56" t="s">
        <v>389</v>
      </c>
      <c r="D125" s="56" t="s">
        <v>390</v>
      </c>
      <c r="E125" s="56" t="s">
        <v>179</v>
      </c>
      <c r="F125" s="56" t="s">
        <v>391</v>
      </c>
      <c r="G125" s="56" t="s">
        <v>392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76"/>
      <c r="C126" s="56" t="s">
        <v>393</v>
      </c>
      <c r="D126" s="56" t="s">
        <v>394</v>
      </c>
      <c r="E126" s="56" t="s">
        <v>268</v>
      </c>
      <c r="F126" s="56" t="s">
        <v>395</v>
      </c>
      <c r="G126" s="56" t="s">
        <v>396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76"/>
      <c r="C127" s="56" t="s">
        <v>397</v>
      </c>
      <c r="D127" s="56" t="s">
        <v>182</v>
      </c>
      <c r="E127" s="56" t="s">
        <v>322</v>
      </c>
      <c r="F127" s="56" t="s">
        <v>398</v>
      </c>
      <c r="G127" s="56" t="s">
        <v>399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86"/>
      <c r="C128" s="56" t="s">
        <v>400</v>
      </c>
      <c r="D128" s="56" t="s">
        <v>182</v>
      </c>
      <c r="E128" s="56" t="s">
        <v>401</v>
      </c>
      <c r="F128" s="56" t="s">
        <v>402</v>
      </c>
      <c r="G128" s="56" t="s">
        <v>403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87"/>
      <c r="C129" s="87"/>
      <c r="D129" s="87"/>
      <c r="E129" s="87"/>
      <c r="F129" s="87"/>
      <c r="G129" s="8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88" t="s">
        <v>404</v>
      </c>
      <c r="C130" s="87"/>
      <c r="D130" s="87"/>
      <c r="E130" s="87"/>
      <c r="F130" s="87"/>
      <c r="G130" s="8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87"/>
      <c r="C131" s="87"/>
      <c r="D131" s="87"/>
      <c r="E131" s="87"/>
      <c r="F131" s="87"/>
      <c r="G131" s="8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89" t="s">
        <v>405</v>
      </c>
      <c r="C132" s="87"/>
      <c r="D132" s="87"/>
      <c r="E132" s="87"/>
      <c r="F132" s="87"/>
      <c r="G132" s="8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90" t="s">
        <v>406</v>
      </c>
      <c r="C133" s="91" t="s">
        <v>407</v>
      </c>
      <c r="D133" s="91" t="s">
        <v>408</v>
      </c>
      <c r="E133" s="91" t="s">
        <v>409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92" t="s">
        <v>123</v>
      </c>
      <c r="C134" s="93" t="s">
        <v>142</v>
      </c>
      <c r="D134" s="94" t="s">
        <v>410</v>
      </c>
      <c r="E134" s="10" t="s">
        <v>411</v>
      </c>
      <c r="F134" s="3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95"/>
      <c r="C135" s="93" t="s">
        <v>149</v>
      </c>
      <c r="D135" s="94" t="s">
        <v>412</v>
      </c>
      <c r="E135" s="10" t="s">
        <v>413</v>
      </c>
      <c r="F135" s="3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39.0" customHeight="1">
      <c r="A136" s="1"/>
      <c r="B136" s="95"/>
      <c r="C136" s="96" t="s">
        <v>155</v>
      </c>
      <c r="D136" s="97" t="s">
        <v>414</v>
      </c>
      <c r="E136" s="15" t="s">
        <v>415</v>
      </c>
      <c r="F136" s="3"/>
      <c r="G136" s="4"/>
      <c r="H136" s="16" t="s">
        <v>11</v>
      </c>
      <c r="I136" s="16" t="s">
        <v>416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98"/>
      <c r="C137" s="93" t="s">
        <v>161</v>
      </c>
      <c r="D137" s="94" t="s">
        <v>417</v>
      </c>
      <c r="E137" s="10" t="s">
        <v>418</v>
      </c>
      <c r="F137" s="3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39.0" customHeight="1">
      <c r="A138" s="1"/>
      <c r="B138" s="99" t="s">
        <v>124</v>
      </c>
      <c r="C138" s="100" t="s">
        <v>143</v>
      </c>
      <c r="D138" s="101" t="s">
        <v>419</v>
      </c>
      <c r="E138" s="102" t="s">
        <v>420</v>
      </c>
      <c r="F138" s="3"/>
      <c r="G138" s="4"/>
      <c r="H138" s="61" t="s">
        <v>11</v>
      </c>
      <c r="I138" s="16" t="s">
        <v>421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39.0" customHeight="1">
      <c r="A139" s="1"/>
      <c r="B139" s="103"/>
      <c r="C139" s="100" t="s">
        <v>150</v>
      </c>
      <c r="D139" s="101" t="s">
        <v>422</v>
      </c>
      <c r="E139" s="102" t="s">
        <v>423</v>
      </c>
      <c r="F139" s="3"/>
      <c r="G139" s="4"/>
      <c r="H139" s="61" t="s">
        <v>11</v>
      </c>
      <c r="I139" s="16" t="s">
        <v>421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39.0" customHeight="1">
      <c r="A140" s="1"/>
      <c r="B140" s="103"/>
      <c r="C140" s="104" t="s">
        <v>156</v>
      </c>
      <c r="D140" s="101" t="s">
        <v>424</v>
      </c>
      <c r="E140" s="102" t="s">
        <v>425</v>
      </c>
      <c r="F140" s="3"/>
      <c r="G140" s="4"/>
      <c r="H140" s="61" t="s">
        <v>19</v>
      </c>
      <c r="I140" s="16" t="s">
        <v>426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92" t="s">
        <v>125</v>
      </c>
      <c r="C141" s="93" t="s">
        <v>144</v>
      </c>
      <c r="D141" s="94" t="s">
        <v>427</v>
      </c>
      <c r="E141" s="10" t="s">
        <v>428</v>
      </c>
      <c r="F141" s="3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95"/>
      <c r="C142" s="93" t="s">
        <v>151</v>
      </c>
      <c r="D142" s="94" t="s">
        <v>429</v>
      </c>
      <c r="E142" s="10" t="s">
        <v>430</v>
      </c>
      <c r="F142" s="3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98"/>
      <c r="C143" s="93" t="s">
        <v>157</v>
      </c>
      <c r="D143" s="94" t="s">
        <v>431</v>
      </c>
      <c r="E143" s="10" t="s">
        <v>432</v>
      </c>
      <c r="F143" s="3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95" t="s">
        <v>126</v>
      </c>
      <c r="C144" s="93" t="s">
        <v>152</v>
      </c>
      <c r="D144" s="94" t="s">
        <v>152</v>
      </c>
      <c r="E144" s="10" t="s">
        <v>433</v>
      </c>
      <c r="F144" s="3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95"/>
      <c r="C145" s="93" t="s">
        <v>145</v>
      </c>
      <c r="D145" s="94" t="s">
        <v>145</v>
      </c>
      <c r="E145" s="10" t="s">
        <v>434</v>
      </c>
      <c r="F145" s="3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95"/>
      <c r="C146" s="93" t="s">
        <v>158</v>
      </c>
      <c r="D146" s="94" t="s">
        <v>158</v>
      </c>
      <c r="E146" s="10" t="s">
        <v>435</v>
      </c>
      <c r="F146" s="3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95"/>
      <c r="C147" s="93" t="s">
        <v>162</v>
      </c>
      <c r="D147" s="94" t="s">
        <v>162</v>
      </c>
      <c r="E147" s="10" t="s">
        <v>436</v>
      </c>
      <c r="F147" s="3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95"/>
      <c r="C148" s="93" t="s">
        <v>155</v>
      </c>
      <c r="D148" s="94" t="s">
        <v>414</v>
      </c>
      <c r="E148" s="10" t="s">
        <v>437</v>
      </c>
      <c r="F148" s="3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98"/>
      <c r="C149" s="93" t="s">
        <v>161</v>
      </c>
      <c r="D149" s="94" t="s">
        <v>417</v>
      </c>
      <c r="E149" s="10" t="s">
        <v>438</v>
      </c>
      <c r="F149" s="3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95" t="s">
        <v>127</v>
      </c>
      <c r="C150" s="93" t="s">
        <v>146</v>
      </c>
      <c r="D150" s="94" t="s">
        <v>439</v>
      </c>
      <c r="E150" s="10" t="s">
        <v>440</v>
      </c>
      <c r="F150" s="3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95"/>
      <c r="C151" s="93" t="s">
        <v>153</v>
      </c>
      <c r="D151" s="94" t="s">
        <v>441</v>
      </c>
      <c r="E151" s="10" t="s">
        <v>442</v>
      </c>
      <c r="F151" s="3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98"/>
      <c r="C152" s="93" t="s">
        <v>159</v>
      </c>
      <c r="D152" s="94" t="s">
        <v>443</v>
      </c>
      <c r="E152" s="10" t="s">
        <v>444</v>
      </c>
      <c r="F152" s="3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95" t="s">
        <v>225</v>
      </c>
      <c r="C153" s="93" t="s">
        <v>237</v>
      </c>
      <c r="D153" s="94" t="s">
        <v>445</v>
      </c>
      <c r="E153" s="10" t="s">
        <v>446</v>
      </c>
      <c r="F153" s="3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95"/>
      <c r="C154" s="93" t="s">
        <v>240</v>
      </c>
      <c r="D154" s="94" t="s">
        <v>447</v>
      </c>
      <c r="E154" s="10" t="s">
        <v>448</v>
      </c>
      <c r="F154" s="3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95"/>
      <c r="C155" s="93" t="s">
        <v>242</v>
      </c>
      <c r="D155" s="94" t="s">
        <v>449</v>
      </c>
      <c r="E155" s="10" t="s">
        <v>450</v>
      </c>
      <c r="F155" s="3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95"/>
      <c r="C156" s="93" t="s">
        <v>244</v>
      </c>
      <c r="D156" s="94" t="s">
        <v>451</v>
      </c>
      <c r="E156" s="10" t="s">
        <v>452</v>
      </c>
      <c r="F156" s="3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98"/>
      <c r="C157" s="93" t="s">
        <v>246</v>
      </c>
      <c r="D157" s="94" t="s">
        <v>453</v>
      </c>
      <c r="E157" s="10" t="s">
        <v>454</v>
      </c>
      <c r="F157" s="3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95" t="s">
        <v>219</v>
      </c>
      <c r="C158" s="93" t="s">
        <v>238</v>
      </c>
      <c r="D158" s="94" t="s">
        <v>455</v>
      </c>
      <c r="E158" s="10" t="s">
        <v>456</v>
      </c>
      <c r="F158" s="3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95"/>
      <c r="C159" s="93" t="s">
        <v>232</v>
      </c>
      <c r="D159" s="94" t="s">
        <v>457</v>
      </c>
      <c r="E159" s="10" t="s">
        <v>458</v>
      </c>
      <c r="F159" s="3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95"/>
      <c r="C160" s="93" t="s">
        <v>241</v>
      </c>
      <c r="D160" s="94" t="s">
        <v>459</v>
      </c>
      <c r="E160" s="10" t="s">
        <v>460</v>
      </c>
      <c r="F160" s="3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95"/>
      <c r="C161" s="93" t="s">
        <v>243</v>
      </c>
      <c r="D161" s="94" t="s">
        <v>461</v>
      </c>
      <c r="E161" s="10" t="s">
        <v>462</v>
      </c>
      <c r="F161" s="3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98"/>
      <c r="C162" s="93" t="s">
        <v>245</v>
      </c>
      <c r="D162" s="94" t="s">
        <v>463</v>
      </c>
      <c r="E162" s="10" t="s">
        <v>464</v>
      </c>
      <c r="F162" s="3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95" t="s">
        <v>220</v>
      </c>
      <c r="C163" s="93" t="s">
        <v>465</v>
      </c>
      <c r="D163" s="94" t="s">
        <v>466</v>
      </c>
      <c r="E163" s="10" t="s">
        <v>467</v>
      </c>
      <c r="F163" s="3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95"/>
      <c r="C164" s="93" t="s">
        <v>468</v>
      </c>
      <c r="D164" s="94" t="s">
        <v>469</v>
      </c>
      <c r="E164" s="10" t="s">
        <v>467</v>
      </c>
      <c r="F164" s="3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95"/>
      <c r="C165" s="93" t="s">
        <v>470</v>
      </c>
      <c r="D165" s="94" t="s">
        <v>471</v>
      </c>
      <c r="E165" s="10" t="s">
        <v>467</v>
      </c>
      <c r="F165" s="3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95"/>
      <c r="C166" s="93" t="s">
        <v>472</v>
      </c>
      <c r="D166" s="94" t="s">
        <v>473</v>
      </c>
      <c r="E166" s="10" t="s">
        <v>467</v>
      </c>
      <c r="F166" s="3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95"/>
      <c r="C167" s="93" t="s">
        <v>233</v>
      </c>
      <c r="D167" s="94" t="s">
        <v>474</v>
      </c>
      <c r="E167" s="10" t="s">
        <v>467</v>
      </c>
      <c r="F167" s="3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95"/>
      <c r="C168" s="93" t="s">
        <v>475</v>
      </c>
      <c r="D168" s="94" t="s">
        <v>476</v>
      </c>
      <c r="E168" s="10" t="s">
        <v>467</v>
      </c>
      <c r="F168" s="3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98"/>
      <c r="C169" s="93" t="s">
        <v>477</v>
      </c>
      <c r="D169" s="94" t="s">
        <v>478</v>
      </c>
      <c r="E169" s="10" t="s">
        <v>467</v>
      </c>
      <c r="F169" s="3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95" t="s">
        <v>221</v>
      </c>
      <c r="C170" s="93" t="s">
        <v>479</v>
      </c>
      <c r="D170" s="94" t="s">
        <v>480</v>
      </c>
      <c r="E170" s="10" t="s">
        <v>481</v>
      </c>
      <c r="F170" s="3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98"/>
      <c r="C171" s="93" t="s">
        <v>234</v>
      </c>
      <c r="D171" s="94" t="s">
        <v>482</v>
      </c>
      <c r="E171" s="10" t="s">
        <v>483</v>
      </c>
      <c r="F171" s="3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95" t="s">
        <v>393</v>
      </c>
      <c r="C172" s="93" t="s">
        <v>484</v>
      </c>
      <c r="D172" s="94" t="s">
        <v>485</v>
      </c>
      <c r="E172" s="10" t="s">
        <v>486</v>
      </c>
      <c r="F172" s="3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95"/>
      <c r="C173" s="93" t="s">
        <v>396</v>
      </c>
      <c r="D173" s="94" t="s">
        <v>392</v>
      </c>
      <c r="E173" s="10" t="s">
        <v>487</v>
      </c>
      <c r="F173" s="3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95"/>
      <c r="C174" s="93" t="s">
        <v>488</v>
      </c>
      <c r="D174" s="94" t="s">
        <v>489</v>
      </c>
      <c r="E174" s="10" t="s">
        <v>490</v>
      </c>
      <c r="F174" s="3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95"/>
      <c r="C175" s="93" t="s">
        <v>491</v>
      </c>
      <c r="D175" s="94" t="s">
        <v>492</v>
      </c>
      <c r="E175" s="10" t="s">
        <v>493</v>
      </c>
      <c r="F175" s="3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95"/>
      <c r="C176" s="93" t="s">
        <v>494</v>
      </c>
      <c r="D176" s="94" t="s">
        <v>495</v>
      </c>
      <c r="E176" s="10" t="s">
        <v>496</v>
      </c>
      <c r="F176" s="3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95"/>
      <c r="C177" s="93" t="s">
        <v>497</v>
      </c>
      <c r="D177" s="94" t="s">
        <v>498</v>
      </c>
      <c r="E177" s="10" t="s">
        <v>499</v>
      </c>
      <c r="F177" s="3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95"/>
      <c r="C178" s="93" t="s">
        <v>500</v>
      </c>
      <c r="D178" s="94" t="s">
        <v>501</v>
      </c>
      <c r="E178" s="10" t="s">
        <v>502</v>
      </c>
      <c r="F178" s="3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95"/>
      <c r="C179" s="93" t="s">
        <v>503</v>
      </c>
      <c r="D179" s="94" t="s">
        <v>504</v>
      </c>
      <c r="E179" s="10" t="s">
        <v>505</v>
      </c>
      <c r="F179" s="3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95"/>
      <c r="C180" s="93" t="s">
        <v>506</v>
      </c>
      <c r="D180" s="94" t="s">
        <v>507</v>
      </c>
      <c r="E180" s="10" t="s">
        <v>508</v>
      </c>
      <c r="F180" s="3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95"/>
      <c r="C181" s="93" t="s">
        <v>509</v>
      </c>
      <c r="D181" s="94" t="s">
        <v>510</v>
      </c>
      <c r="E181" s="10" t="s">
        <v>511</v>
      </c>
      <c r="F181" s="3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95"/>
      <c r="C182" s="93" t="s">
        <v>512</v>
      </c>
      <c r="D182" s="94" t="s">
        <v>513</v>
      </c>
      <c r="E182" s="10" t="s">
        <v>514</v>
      </c>
      <c r="F182" s="3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98"/>
      <c r="C183" s="93" t="s">
        <v>515</v>
      </c>
      <c r="D183" s="94" t="s">
        <v>516</v>
      </c>
      <c r="E183" s="10" t="s">
        <v>517</v>
      </c>
      <c r="F183" s="3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95" t="s">
        <v>365</v>
      </c>
      <c r="C184" s="93" t="s">
        <v>518</v>
      </c>
      <c r="D184" s="94" t="s">
        <v>519</v>
      </c>
      <c r="E184" s="10" t="s">
        <v>520</v>
      </c>
      <c r="F184" s="3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95"/>
      <c r="C185" s="93" t="s">
        <v>521</v>
      </c>
      <c r="D185" s="94" t="s">
        <v>522</v>
      </c>
      <c r="E185" s="10" t="s">
        <v>523</v>
      </c>
      <c r="F185" s="3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95"/>
      <c r="C186" s="93" t="s">
        <v>368</v>
      </c>
      <c r="D186" s="94" t="s">
        <v>524</v>
      </c>
      <c r="E186" s="10" t="s">
        <v>525</v>
      </c>
      <c r="F186" s="3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95"/>
      <c r="C187" s="93" t="s">
        <v>526</v>
      </c>
      <c r="D187" s="94" t="s">
        <v>527</v>
      </c>
      <c r="E187" s="10" t="s">
        <v>528</v>
      </c>
      <c r="F187" s="3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95"/>
      <c r="C188" s="93" t="s">
        <v>529</v>
      </c>
      <c r="D188" s="94" t="s">
        <v>530</v>
      </c>
      <c r="E188" s="10" t="s">
        <v>531</v>
      </c>
      <c r="F188" s="3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95"/>
      <c r="C189" s="93" t="s">
        <v>532</v>
      </c>
      <c r="D189" s="94" t="s">
        <v>533</v>
      </c>
      <c r="E189" s="10" t="s">
        <v>534</v>
      </c>
      <c r="F189" s="3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98"/>
      <c r="C190" s="93" t="s">
        <v>161</v>
      </c>
      <c r="D190" s="94" t="s">
        <v>417</v>
      </c>
      <c r="E190" s="10" t="s">
        <v>535</v>
      </c>
      <c r="F190" s="3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</row>
  </sheetData>
  <mergeCells count="80"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76:G176"/>
    <mergeCell ref="E177:G177"/>
    <mergeCell ref="E178:G178"/>
    <mergeCell ref="E179:G179"/>
    <mergeCell ref="E180:G180"/>
    <mergeCell ref="E181:G181"/>
    <mergeCell ref="E182:G182"/>
    <mergeCell ref="B2:D2"/>
    <mergeCell ref="C5:G5"/>
    <mergeCell ref="C6:G6"/>
    <mergeCell ref="C7:G7"/>
    <mergeCell ref="C8:G8"/>
    <mergeCell ref="C9:G9"/>
    <mergeCell ref="C10:G10"/>
    <mergeCell ref="B26:C26"/>
    <mergeCell ref="D26:G26"/>
    <mergeCell ref="D20:G20"/>
    <mergeCell ref="B21:C21"/>
    <mergeCell ref="D21:G21"/>
    <mergeCell ref="D22:G22"/>
    <mergeCell ref="D23:G23"/>
    <mergeCell ref="D24:G24"/>
    <mergeCell ref="D25:G25"/>
    <mergeCell ref="C11:G11"/>
    <mergeCell ref="C12:G12"/>
    <mergeCell ref="C13:G13"/>
    <mergeCell ref="D16:G16"/>
    <mergeCell ref="D17:G17"/>
    <mergeCell ref="D18:G18"/>
    <mergeCell ref="D19:G19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</mergeCells>
  <dataValidations>
    <dataValidation type="list" allowBlank="1" showErrorMessage="1" sqref="H5:H390">
      <formula1>"High,Mid,Low"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0" width="25.86"/>
    <col customWidth="1" min="11" max="11" width="73.71"/>
    <col customWidth="1" min="12" max="16" width="25.86"/>
    <col customWidth="1" min="17" max="18" width="35.86"/>
    <col customWidth="1" min="19" max="19" width="25.86"/>
    <col customWidth="1" min="20" max="26" width="8.71"/>
  </cols>
  <sheetData>
    <row r="1" ht="24.0" customHeight="1">
      <c r="A1" s="46" t="s">
        <v>62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9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5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3" t="s">
        <v>70</v>
      </c>
      <c r="B3" s="24" t="s">
        <v>72</v>
      </c>
      <c r="C3" s="3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3" t="s">
        <v>76</v>
      </c>
      <c r="B4" s="24" t="s">
        <v>73</v>
      </c>
      <c r="C4" s="3"/>
      <c r="D4" s="4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3" t="s">
        <v>77</v>
      </c>
      <c r="B5" s="24" t="s">
        <v>79</v>
      </c>
      <c r="C5" s="3"/>
      <c r="D5" s="4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8" t="s">
        <v>83</v>
      </c>
      <c r="B6" s="56" t="s">
        <v>87</v>
      </c>
      <c r="C6" s="56" t="s">
        <v>87</v>
      </c>
      <c r="D6" s="56" t="s">
        <v>87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53" t="s">
        <v>94</v>
      </c>
      <c r="B7" s="60" t="s">
        <v>87</v>
      </c>
      <c r="C7" s="3"/>
      <c r="D7" s="4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62"/>
      <c r="B8" s="62"/>
      <c r="C8" s="62"/>
      <c r="D8" s="62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30.0" customHeight="1">
      <c r="A9" s="63" t="s">
        <v>106</v>
      </c>
      <c r="B9" s="64" t="s">
        <v>107</v>
      </c>
      <c r="C9" s="64" t="s">
        <v>111</v>
      </c>
      <c r="D9" s="64" t="s">
        <v>112</v>
      </c>
      <c r="E9" s="64" t="s">
        <v>114</v>
      </c>
      <c r="F9" s="64" t="s">
        <v>115</v>
      </c>
      <c r="G9" s="64" t="s">
        <v>116</v>
      </c>
      <c r="H9" s="64" t="s">
        <v>117</v>
      </c>
      <c r="I9" s="64" t="s">
        <v>118</v>
      </c>
      <c r="J9" s="64" t="s">
        <v>119</v>
      </c>
      <c r="K9" s="64" t="s">
        <v>120</v>
      </c>
      <c r="L9" s="64" t="s">
        <v>121</v>
      </c>
      <c r="M9" s="64" t="s">
        <v>122</v>
      </c>
      <c r="N9" s="64" t="s">
        <v>123</v>
      </c>
      <c r="O9" s="64" t="s">
        <v>124</v>
      </c>
      <c r="P9" s="64" t="s">
        <v>125</v>
      </c>
      <c r="Q9" s="64" t="s">
        <v>126</v>
      </c>
      <c r="R9" s="64" t="s">
        <v>127</v>
      </c>
      <c r="S9" s="64" t="s">
        <v>128</v>
      </c>
      <c r="T9" s="65"/>
      <c r="U9" s="65"/>
      <c r="V9" s="65"/>
      <c r="W9" s="65"/>
      <c r="X9" s="65"/>
      <c r="Y9" s="65"/>
      <c r="Z9" s="65"/>
    </row>
    <row r="10" ht="15.0" customHeight="1">
      <c r="A10" s="66" t="s">
        <v>129</v>
      </c>
      <c r="B10" s="66" t="s">
        <v>131</v>
      </c>
      <c r="C10" s="66" t="s">
        <v>132</v>
      </c>
      <c r="D10" s="66" t="s">
        <v>133</v>
      </c>
      <c r="E10" s="66" t="s">
        <v>134</v>
      </c>
      <c r="F10" s="66" t="s">
        <v>133</v>
      </c>
      <c r="G10" s="66" t="s">
        <v>135</v>
      </c>
      <c r="H10" s="66" t="s">
        <v>136</v>
      </c>
      <c r="I10" s="66" t="s">
        <v>137</v>
      </c>
      <c r="J10" s="66" t="s">
        <v>138</v>
      </c>
      <c r="K10" s="66" t="s">
        <v>139</v>
      </c>
      <c r="L10" s="66" t="s">
        <v>140</v>
      </c>
      <c r="M10" s="66" t="s">
        <v>141</v>
      </c>
      <c r="N10" s="66" t="s">
        <v>142</v>
      </c>
      <c r="O10" s="66" t="s">
        <v>143</v>
      </c>
      <c r="P10" s="66" t="s">
        <v>144</v>
      </c>
      <c r="Q10" s="66" t="s">
        <v>145</v>
      </c>
      <c r="R10" s="66" t="s">
        <v>146</v>
      </c>
      <c r="S10" s="66" t="s">
        <v>147</v>
      </c>
      <c r="T10" s="50"/>
      <c r="U10" s="50"/>
      <c r="V10" s="50"/>
      <c r="W10" s="50"/>
      <c r="X10" s="50"/>
      <c r="Y10" s="50"/>
      <c r="Z10" s="50"/>
    </row>
    <row r="11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9"/>
      <c r="L11" s="68"/>
      <c r="M11" s="69"/>
      <c r="N11" s="69" t="s">
        <v>149</v>
      </c>
      <c r="O11" s="69" t="s">
        <v>150</v>
      </c>
      <c r="P11" s="69" t="s">
        <v>151</v>
      </c>
      <c r="Q11" s="69" t="s">
        <v>152</v>
      </c>
      <c r="R11" s="69" t="s">
        <v>153</v>
      </c>
      <c r="S11" s="50"/>
      <c r="T11" s="50"/>
      <c r="U11" s="50"/>
      <c r="V11" s="50"/>
      <c r="W11" s="50"/>
      <c r="X11" s="50"/>
      <c r="Y11" s="50"/>
      <c r="Z11" s="50"/>
    </row>
    <row r="12" ht="15.75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9"/>
      <c r="L12" s="68"/>
      <c r="M12" s="69"/>
      <c r="N12" s="69" t="s">
        <v>155</v>
      </c>
      <c r="O12" s="69" t="s">
        <v>156</v>
      </c>
      <c r="P12" s="69" t="s">
        <v>157</v>
      </c>
      <c r="Q12" s="69" t="s">
        <v>158</v>
      </c>
      <c r="R12" s="69" t="s">
        <v>159</v>
      </c>
      <c r="S12" s="50"/>
      <c r="T12" s="50"/>
      <c r="U12" s="50"/>
      <c r="V12" s="50"/>
      <c r="W12" s="50"/>
      <c r="X12" s="50"/>
      <c r="Y12" s="50"/>
      <c r="Z12" s="50"/>
    </row>
    <row r="13" ht="15.7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9"/>
      <c r="N13" s="69" t="s">
        <v>161</v>
      </c>
      <c r="O13" s="69"/>
      <c r="P13" s="68"/>
      <c r="Q13" s="69" t="s">
        <v>162</v>
      </c>
      <c r="R13" s="50"/>
      <c r="S13" s="50"/>
      <c r="T13" s="50"/>
      <c r="U13" s="50"/>
      <c r="V13" s="50"/>
      <c r="W13" s="50"/>
      <c r="X13" s="50"/>
      <c r="Y13" s="50"/>
      <c r="Z13" s="50"/>
    </row>
    <row r="14" ht="15.7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9"/>
      <c r="N14" s="68"/>
      <c r="O14" s="69"/>
      <c r="P14" s="68"/>
      <c r="Q14" s="69" t="s">
        <v>155</v>
      </c>
      <c r="R14" s="50"/>
      <c r="S14" s="50"/>
      <c r="T14" s="50"/>
      <c r="U14" s="50"/>
      <c r="V14" s="50"/>
      <c r="W14" s="50"/>
      <c r="X14" s="50"/>
      <c r="Y14" s="50"/>
      <c r="Z14" s="50"/>
    </row>
    <row r="15" ht="15.75" customHeight="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9"/>
      <c r="P15" s="68"/>
      <c r="Q15" s="69" t="s">
        <v>161</v>
      </c>
      <c r="R15" s="50"/>
      <c r="S15" s="50"/>
      <c r="T15" s="50"/>
      <c r="U15" s="50"/>
      <c r="V15" s="50"/>
      <c r="W15" s="50"/>
      <c r="X15" s="50"/>
      <c r="Y15" s="50"/>
      <c r="Z15" s="50"/>
    </row>
    <row r="16" ht="15.75" customHeight="1">
      <c r="A16" s="66" t="s">
        <v>165</v>
      </c>
      <c r="B16" s="66" t="s">
        <v>166</v>
      </c>
      <c r="C16" s="66" t="s">
        <v>132</v>
      </c>
      <c r="D16" s="66" t="s">
        <v>133</v>
      </c>
      <c r="E16" s="66" t="s">
        <v>134</v>
      </c>
      <c r="F16" s="66" t="s">
        <v>133</v>
      </c>
      <c r="G16" s="66" t="s">
        <v>135</v>
      </c>
      <c r="H16" s="66" t="s">
        <v>136</v>
      </c>
      <c r="I16" s="66" t="s">
        <v>137</v>
      </c>
      <c r="J16" s="66" t="s">
        <v>138</v>
      </c>
      <c r="K16" s="66" t="s">
        <v>139</v>
      </c>
      <c r="L16" s="66" t="s">
        <v>133</v>
      </c>
      <c r="M16" s="66" t="s">
        <v>133</v>
      </c>
      <c r="N16" s="66" t="s">
        <v>133</v>
      </c>
      <c r="O16" s="66" t="s">
        <v>150</v>
      </c>
      <c r="P16" s="66" t="s">
        <v>144</v>
      </c>
      <c r="Q16" s="66" t="s">
        <v>161</v>
      </c>
      <c r="R16" s="66" t="s">
        <v>159</v>
      </c>
      <c r="S16" s="66" t="s">
        <v>147</v>
      </c>
      <c r="T16" s="50"/>
      <c r="U16" s="50"/>
      <c r="V16" s="50"/>
      <c r="W16" s="50"/>
      <c r="X16" s="50"/>
      <c r="Y16" s="50"/>
      <c r="Z16" s="50"/>
    </row>
    <row r="17" ht="15.75" customHeight="1">
      <c r="A17" s="66" t="s">
        <v>169</v>
      </c>
      <c r="B17" s="66" t="s">
        <v>170</v>
      </c>
      <c r="C17" s="66" t="s">
        <v>132</v>
      </c>
      <c r="D17" s="66" t="s">
        <v>133</v>
      </c>
      <c r="E17" s="66" t="s">
        <v>134</v>
      </c>
      <c r="F17" s="66" t="s">
        <v>133</v>
      </c>
      <c r="G17" s="66" t="s">
        <v>135</v>
      </c>
      <c r="H17" s="66" t="s">
        <v>136</v>
      </c>
      <c r="I17" s="66" t="s">
        <v>137</v>
      </c>
      <c r="J17" s="66" t="s">
        <v>138</v>
      </c>
      <c r="K17" s="66" t="s">
        <v>139</v>
      </c>
      <c r="L17" s="66" t="s">
        <v>133</v>
      </c>
      <c r="M17" s="66" t="s">
        <v>133</v>
      </c>
      <c r="N17" s="66" t="s">
        <v>133</v>
      </c>
      <c r="O17" s="66" t="s">
        <v>156</v>
      </c>
      <c r="P17" s="66" t="s">
        <v>144</v>
      </c>
      <c r="Q17" s="66" t="s">
        <v>161</v>
      </c>
      <c r="R17" s="66" t="s">
        <v>159</v>
      </c>
      <c r="S17" s="66" t="s">
        <v>147</v>
      </c>
      <c r="T17" s="50"/>
      <c r="U17" s="50"/>
      <c r="V17" s="50"/>
      <c r="W17" s="50"/>
      <c r="X17" s="50"/>
      <c r="Y17" s="50"/>
      <c r="Z17" s="50"/>
    </row>
    <row r="18" ht="15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5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25.86"/>
  </cols>
  <sheetData>
    <row r="1" ht="24.0" customHeight="1">
      <c r="A1" s="77" t="s">
        <v>81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5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78" t="s">
        <v>70</v>
      </c>
      <c r="B3" s="24" t="s">
        <v>199</v>
      </c>
      <c r="C3" s="3"/>
      <c r="D3" s="4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78" t="s">
        <v>76</v>
      </c>
      <c r="B4" s="24" t="s">
        <v>200</v>
      </c>
      <c r="C4" s="3"/>
      <c r="D4" s="4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78" t="s">
        <v>77</v>
      </c>
      <c r="B5" s="24" t="s">
        <v>201</v>
      </c>
      <c r="C5" s="3"/>
      <c r="D5" s="4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78" t="s">
        <v>83</v>
      </c>
      <c r="B6" s="79" t="s">
        <v>87</v>
      </c>
      <c r="C6" s="79" t="s">
        <v>87</v>
      </c>
      <c r="D6" s="80" t="s">
        <v>87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78" t="s">
        <v>94</v>
      </c>
      <c r="B7" s="24" t="s">
        <v>202</v>
      </c>
      <c r="C7" s="3"/>
      <c r="D7" s="4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30.0" customHeight="1">
      <c r="A9" s="64" t="s">
        <v>203</v>
      </c>
      <c r="B9" s="64" t="s">
        <v>204</v>
      </c>
      <c r="C9" s="64" t="s">
        <v>205</v>
      </c>
      <c r="D9" s="64" t="s">
        <v>206</v>
      </c>
      <c r="E9" s="64" t="s">
        <v>207</v>
      </c>
      <c r="F9" s="64" t="s">
        <v>114</v>
      </c>
      <c r="G9" s="64" t="s">
        <v>115</v>
      </c>
      <c r="H9" s="64" t="s">
        <v>128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5.75" customHeight="1">
      <c r="A10" s="69" t="s">
        <v>208</v>
      </c>
      <c r="B10" s="69" t="s">
        <v>165</v>
      </c>
      <c r="C10" s="69" t="s">
        <v>209</v>
      </c>
      <c r="D10" s="69" t="s">
        <v>210</v>
      </c>
      <c r="E10" s="69" t="s">
        <v>211</v>
      </c>
      <c r="F10" s="69" t="s">
        <v>212</v>
      </c>
      <c r="G10" s="69" t="s">
        <v>133</v>
      </c>
      <c r="H10" s="69" t="s">
        <v>213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5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5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5.7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5.7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5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5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5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25.86"/>
    <col customWidth="1" min="13" max="26" width="8.71"/>
  </cols>
  <sheetData>
    <row r="1" ht="24.0" customHeight="1">
      <c r="A1" s="46" t="s">
        <v>88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5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3" t="s">
        <v>70</v>
      </c>
      <c r="B3" s="24" t="s">
        <v>247</v>
      </c>
      <c r="C3" s="3"/>
      <c r="D3" s="4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53" t="s">
        <v>76</v>
      </c>
      <c r="B4" s="24" t="s">
        <v>89</v>
      </c>
      <c r="C4" s="3"/>
      <c r="D4" s="4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3" t="s">
        <v>77</v>
      </c>
      <c r="B5" s="24" t="s">
        <v>90</v>
      </c>
      <c r="C5" s="3"/>
      <c r="D5" s="4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3" t="s">
        <v>83</v>
      </c>
      <c r="B6" s="81" t="s">
        <v>87</v>
      </c>
      <c r="C6" s="81" t="s">
        <v>87</v>
      </c>
      <c r="D6" s="81" t="s">
        <v>87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3" t="s">
        <v>94</v>
      </c>
      <c r="B7" s="60" t="s">
        <v>87</v>
      </c>
      <c r="C7" s="3"/>
      <c r="D7" s="4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30.0" customHeight="1">
      <c r="A9" s="63" t="s">
        <v>106</v>
      </c>
      <c r="B9" s="64" t="s">
        <v>216</v>
      </c>
      <c r="C9" s="64" t="s">
        <v>114</v>
      </c>
      <c r="D9" s="64" t="s">
        <v>115</v>
      </c>
      <c r="E9" s="64" t="s">
        <v>128</v>
      </c>
      <c r="F9" s="64" t="s">
        <v>217</v>
      </c>
      <c r="G9" s="64" t="s">
        <v>248</v>
      </c>
      <c r="H9" s="64" t="s">
        <v>220</v>
      </c>
      <c r="I9" s="64" t="s">
        <v>221</v>
      </c>
      <c r="J9" s="64" t="s">
        <v>107</v>
      </c>
      <c r="K9" s="64" t="s">
        <v>225</v>
      </c>
      <c r="L9" s="64" t="s">
        <v>249</v>
      </c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.0" customHeight="1">
      <c r="A10" s="69" t="s">
        <v>250</v>
      </c>
      <c r="B10" s="69" t="s">
        <v>228</v>
      </c>
      <c r="C10" s="69" t="s">
        <v>229</v>
      </c>
      <c r="D10" s="69" t="s">
        <v>133</v>
      </c>
      <c r="E10" s="69" t="s">
        <v>230</v>
      </c>
      <c r="F10" s="69" t="s">
        <v>231</v>
      </c>
      <c r="G10" s="69">
        <v>8.0</v>
      </c>
      <c r="H10" s="69" t="s">
        <v>233</v>
      </c>
      <c r="I10" s="69" t="s">
        <v>234</v>
      </c>
      <c r="J10" s="69" t="s">
        <v>131</v>
      </c>
      <c r="K10" s="69" t="s">
        <v>237</v>
      </c>
      <c r="L10" s="69">
        <v>1254.3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5.0" customHeight="1">
      <c r="A11" s="69" t="s">
        <v>251</v>
      </c>
      <c r="B11" s="69" t="s">
        <v>228</v>
      </c>
      <c r="C11" s="69" t="s">
        <v>229</v>
      </c>
      <c r="D11" s="69" t="s">
        <v>133</v>
      </c>
      <c r="E11" s="69" t="s">
        <v>230</v>
      </c>
      <c r="F11" s="69" t="s">
        <v>231</v>
      </c>
      <c r="G11" s="69">
        <v>8.0</v>
      </c>
      <c r="H11" s="69" t="s">
        <v>233</v>
      </c>
      <c r="I11" s="69" t="s">
        <v>234</v>
      </c>
      <c r="J11" s="69" t="s">
        <v>131</v>
      </c>
      <c r="K11" s="69" t="s">
        <v>240</v>
      </c>
      <c r="L11" s="69">
        <v>980.4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5.0" customHeight="1">
      <c r="A12" s="69" t="s">
        <v>252</v>
      </c>
      <c r="B12" s="69" t="s">
        <v>228</v>
      </c>
      <c r="C12" s="69" t="s">
        <v>229</v>
      </c>
      <c r="D12" s="69" t="s">
        <v>133</v>
      </c>
      <c r="E12" s="69" t="s">
        <v>230</v>
      </c>
      <c r="F12" s="69" t="s">
        <v>231</v>
      </c>
      <c r="G12" s="69">
        <v>8.0</v>
      </c>
      <c r="H12" s="69" t="s">
        <v>233</v>
      </c>
      <c r="I12" s="69" t="s">
        <v>234</v>
      </c>
      <c r="J12" s="69" t="s">
        <v>131</v>
      </c>
      <c r="K12" s="69" t="s">
        <v>242</v>
      </c>
      <c r="L12" s="69">
        <v>210.6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5.75" customHeight="1">
      <c r="A13" s="69" t="s">
        <v>253</v>
      </c>
      <c r="B13" s="69" t="s">
        <v>228</v>
      </c>
      <c r="C13" s="69" t="s">
        <v>229</v>
      </c>
      <c r="D13" s="69" t="s">
        <v>133</v>
      </c>
      <c r="E13" s="69" t="s">
        <v>230</v>
      </c>
      <c r="F13" s="69" t="s">
        <v>231</v>
      </c>
      <c r="G13" s="69">
        <v>8.0</v>
      </c>
      <c r="H13" s="69" t="s">
        <v>233</v>
      </c>
      <c r="I13" s="69" t="s">
        <v>234</v>
      </c>
      <c r="J13" s="69" t="s">
        <v>131</v>
      </c>
      <c r="K13" s="69" t="s">
        <v>244</v>
      </c>
      <c r="L13" s="69">
        <v>48.1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5.75" customHeight="1">
      <c r="A14" s="69" t="s">
        <v>254</v>
      </c>
      <c r="B14" s="69" t="s">
        <v>228</v>
      </c>
      <c r="C14" s="69" t="s">
        <v>229</v>
      </c>
      <c r="D14" s="69" t="s">
        <v>133</v>
      </c>
      <c r="E14" s="69" t="s">
        <v>230</v>
      </c>
      <c r="F14" s="69" t="s">
        <v>231</v>
      </c>
      <c r="G14" s="69">
        <v>8.0</v>
      </c>
      <c r="H14" s="69" t="s">
        <v>233</v>
      </c>
      <c r="I14" s="69" t="s">
        <v>234</v>
      </c>
      <c r="J14" s="69" t="s">
        <v>131</v>
      </c>
      <c r="K14" s="69" t="s">
        <v>246</v>
      </c>
      <c r="L14" s="69">
        <v>15.2</v>
      </c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5.75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5.7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5.7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5.7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5.7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5.7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5.7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5.7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5.7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7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5.7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5.7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5.7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5.7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5.7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5.7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5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5.7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5.7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5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5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5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5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5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5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5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5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6" width="25.86"/>
  </cols>
  <sheetData>
    <row r="1" ht="24.0" customHeight="1">
      <c r="A1" s="46" t="s">
        <v>95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5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3" t="s">
        <v>70</v>
      </c>
      <c r="B3" s="60" t="s">
        <v>214</v>
      </c>
      <c r="C3" s="3"/>
      <c r="D3" s="4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53" t="s">
        <v>76</v>
      </c>
      <c r="B4" s="60" t="s">
        <v>215</v>
      </c>
      <c r="C4" s="3"/>
      <c r="D4" s="4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3" t="s">
        <v>77</v>
      </c>
      <c r="B5" s="24" t="s">
        <v>97</v>
      </c>
      <c r="C5" s="3"/>
      <c r="D5" s="4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3" t="s">
        <v>83</v>
      </c>
      <c r="B6" s="81" t="s">
        <v>87</v>
      </c>
      <c r="C6" s="81" t="s">
        <v>87</v>
      </c>
      <c r="D6" s="81" t="s">
        <v>87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3" t="s">
        <v>94</v>
      </c>
      <c r="B7" s="60" t="s">
        <v>87</v>
      </c>
      <c r="C7" s="3"/>
      <c r="D7" s="4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82"/>
      <c r="B8" s="82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30.0" customHeight="1">
      <c r="A9" s="63" t="s">
        <v>106</v>
      </c>
      <c r="B9" s="64" t="s">
        <v>216</v>
      </c>
      <c r="C9" s="64" t="s">
        <v>114</v>
      </c>
      <c r="D9" s="64" t="s">
        <v>115</v>
      </c>
      <c r="E9" s="64" t="s">
        <v>128</v>
      </c>
      <c r="F9" s="64" t="s">
        <v>217</v>
      </c>
      <c r="G9" s="64" t="s">
        <v>218</v>
      </c>
      <c r="H9" s="64" t="s">
        <v>219</v>
      </c>
      <c r="I9" s="64" t="s">
        <v>220</v>
      </c>
      <c r="J9" s="64" t="s">
        <v>221</v>
      </c>
      <c r="K9" s="64" t="s">
        <v>107</v>
      </c>
      <c r="L9" s="64" t="s">
        <v>222</v>
      </c>
      <c r="M9" s="64" t="s">
        <v>223</v>
      </c>
      <c r="N9" s="64" t="s">
        <v>224</v>
      </c>
      <c r="O9" s="64" t="s">
        <v>225</v>
      </c>
      <c r="P9" s="64" t="s">
        <v>226</v>
      </c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5.75" customHeight="1">
      <c r="A10" s="69" t="s">
        <v>227</v>
      </c>
      <c r="B10" s="69" t="s">
        <v>228</v>
      </c>
      <c r="C10" s="69" t="s">
        <v>229</v>
      </c>
      <c r="D10" s="69" t="s">
        <v>133</v>
      </c>
      <c r="E10" s="69" t="s">
        <v>230</v>
      </c>
      <c r="F10" s="69" t="s">
        <v>231</v>
      </c>
      <c r="G10" s="69">
        <v>8.0</v>
      </c>
      <c r="H10" s="69" t="s">
        <v>232</v>
      </c>
      <c r="I10" s="69" t="s">
        <v>233</v>
      </c>
      <c r="J10" s="69" t="s">
        <v>234</v>
      </c>
      <c r="K10" s="69" t="s">
        <v>166</v>
      </c>
      <c r="L10" s="69" t="s">
        <v>87</v>
      </c>
      <c r="M10" s="69" t="s">
        <v>235</v>
      </c>
      <c r="N10" s="69" t="s">
        <v>236</v>
      </c>
      <c r="O10" s="69" t="s">
        <v>237</v>
      </c>
      <c r="P10" s="69">
        <v>326.0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5.75" customHeight="1">
      <c r="A11" s="68"/>
      <c r="B11" s="68"/>
      <c r="C11" s="68"/>
      <c r="D11" s="68"/>
      <c r="E11" s="68"/>
      <c r="F11" s="68"/>
      <c r="G11" s="69"/>
      <c r="H11" s="69" t="s">
        <v>238</v>
      </c>
      <c r="I11" s="68"/>
      <c r="J11" s="68"/>
      <c r="K11" s="69"/>
      <c r="L11" s="69"/>
      <c r="M11" s="69" t="s">
        <v>239</v>
      </c>
      <c r="N11" s="50"/>
      <c r="O11" s="69" t="s">
        <v>240</v>
      </c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5.75" customHeight="1">
      <c r="A12" s="68"/>
      <c r="B12" s="68"/>
      <c r="C12" s="68"/>
      <c r="D12" s="68"/>
      <c r="E12" s="68"/>
      <c r="F12" s="68"/>
      <c r="G12" s="69"/>
      <c r="H12" s="69" t="s">
        <v>241</v>
      </c>
      <c r="I12" s="68"/>
      <c r="J12" s="68"/>
      <c r="K12" s="69"/>
      <c r="L12" s="69"/>
      <c r="M12" s="68"/>
      <c r="N12" s="50"/>
      <c r="O12" s="69" t="s">
        <v>242</v>
      </c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5.75" customHeight="1">
      <c r="A13" s="68"/>
      <c r="B13" s="68"/>
      <c r="C13" s="68"/>
      <c r="D13" s="68"/>
      <c r="E13" s="68"/>
      <c r="F13" s="68"/>
      <c r="G13" s="69"/>
      <c r="H13" s="69" t="s">
        <v>243</v>
      </c>
      <c r="I13" s="68"/>
      <c r="J13" s="68"/>
      <c r="K13" s="68"/>
      <c r="L13" s="69"/>
      <c r="M13" s="68"/>
      <c r="N13" s="50"/>
      <c r="O13" s="69" t="s">
        <v>244</v>
      </c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5.75" customHeight="1">
      <c r="A14" s="68"/>
      <c r="B14" s="68"/>
      <c r="C14" s="68"/>
      <c r="D14" s="68"/>
      <c r="E14" s="68"/>
      <c r="F14" s="68"/>
      <c r="G14" s="69"/>
      <c r="H14" s="69" t="s">
        <v>245</v>
      </c>
      <c r="I14" s="68"/>
      <c r="J14" s="68"/>
      <c r="K14" s="68"/>
      <c r="L14" s="69"/>
      <c r="M14" s="68"/>
      <c r="N14" s="50"/>
      <c r="O14" s="69" t="s">
        <v>246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5.75" customHeight="1">
      <c r="A15" s="68"/>
      <c r="B15" s="68"/>
      <c r="C15" s="68"/>
      <c r="D15" s="68"/>
      <c r="E15" s="68"/>
      <c r="F15" s="69"/>
      <c r="G15" s="69"/>
      <c r="H15" s="68"/>
      <c r="I15" s="68"/>
      <c r="J15" s="68"/>
      <c r="K15" s="68"/>
      <c r="L15" s="68"/>
      <c r="M15" s="68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5.75" customHeight="1">
      <c r="A16" s="68"/>
      <c r="B16" s="68"/>
      <c r="C16" s="68"/>
      <c r="D16" s="68"/>
      <c r="E16" s="68"/>
      <c r="F16" s="68"/>
      <c r="G16" s="69"/>
      <c r="H16" s="68"/>
      <c r="I16" s="68"/>
      <c r="J16" s="68"/>
      <c r="K16" s="68"/>
      <c r="L16" s="68"/>
      <c r="M16" s="68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A17" s="68"/>
      <c r="B17" s="68"/>
      <c r="C17" s="68"/>
      <c r="D17" s="68"/>
      <c r="E17" s="68"/>
      <c r="F17" s="68"/>
      <c r="G17" s="69"/>
      <c r="H17" s="68"/>
      <c r="I17" s="68"/>
      <c r="J17" s="68"/>
      <c r="K17" s="68"/>
      <c r="L17" s="68"/>
      <c r="M17" s="68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5.75" customHeight="1">
      <c r="A18" s="68"/>
      <c r="B18" s="68"/>
      <c r="C18" s="68"/>
      <c r="D18" s="68"/>
      <c r="E18" s="68"/>
      <c r="F18" s="84"/>
      <c r="G18" s="69"/>
      <c r="H18" s="68"/>
      <c r="I18" s="68"/>
      <c r="J18" s="68"/>
      <c r="K18" s="68"/>
      <c r="L18" s="68"/>
      <c r="M18" s="68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5.75" customHeight="1">
      <c r="A19" s="68"/>
      <c r="B19" s="68"/>
      <c r="C19" s="68"/>
      <c r="D19" s="68"/>
      <c r="E19" s="68"/>
      <c r="F19" s="68"/>
      <c r="G19" s="69"/>
      <c r="H19" s="68"/>
      <c r="I19" s="68"/>
      <c r="J19" s="68"/>
      <c r="K19" s="68"/>
      <c r="L19" s="68"/>
      <c r="M19" s="68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25.86"/>
    <col customWidth="1" min="12" max="12" width="31.43"/>
    <col customWidth="1" min="13" max="16" width="25.86"/>
    <col customWidth="1" min="17" max="30" width="8.71"/>
  </cols>
  <sheetData>
    <row r="1" ht="24.0" customHeight="1">
      <c r="A1" s="46" t="s">
        <v>101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</row>
    <row r="2" ht="15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</row>
    <row r="3">
      <c r="A3" s="53" t="s">
        <v>70</v>
      </c>
      <c r="B3" s="60" t="s">
        <v>536</v>
      </c>
      <c r="C3" s="3"/>
      <c r="D3" s="4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</row>
    <row r="4">
      <c r="A4" s="53" t="s">
        <v>76</v>
      </c>
      <c r="B4" s="60" t="s">
        <v>537</v>
      </c>
      <c r="C4" s="3"/>
      <c r="D4" s="4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</row>
    <row r="5">
      <c r="A5" s="53" t="s">
        <v>77</v>
      </c>
      <c r="B5" s="24" t="s">
        <v>103</v>
      </c>
      <c r="C5" s="3"/>
      <c r="D5" s="4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</row>
    <row r="6">
      <c r="A6" s="53" t="s">
        <v>83</v>
      </c>
      <c r="B6" s="81" t="s">
        <v>87</v>
      </c>
      <c r="C6" s="81" t="s">
        <v>87</v>
      </c>
      <c r="D6" s="81" t="s">
        <v>87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</row>
    <row r="7">
      <c r="A7" s="53" t="s">
        <v>94</v>
      </c>
      <c r="B7" s="60" t="s">
        <v>87</v>
      </c>
      <c r="C7" s="3"/>
      <c r="D7" s="4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</row>
    <row r="8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</row>
    <row r="9" ht="30.0" customHeight="1">
      <c r="A9" s="63" t="s">
        <v>106</v>
      </c>
      <c r="B9" s="64" t="s">
        <v>216</v>
      </c>
      <c r="C9" s="64" t="s">
        <v>114</v>
      </c>
      <c r="D9" s="64" t="s">
        <v>115</v>
      </c>
      <c r="E9" s="64" t="s">
        <v>128</v>
      </c>
      <c r="F9" s="64" t="s">
        <v>217</v>
      </c>
      <c r="G9" s="64" t="s">
        <v>248</v>
      </c>
      <c r="H9" s="64" t="s">
        <v>220</v>
      </c>
      <c r="I9" s="64" t="s">
        <v>221</v>
      </c>
      <c r="J9" s="64" t="s">
        <v>107</v>
      </c>
      <c r="K9" s="64" t="s">
        <v>360</v>
      </c>
      <c r="L9" s="64" t="s">
        <v>365</v>
      </c>
      <c r="M9" s="64" t="s">
        <v>222</v>
      </c>
      <c r="N9" s="64" t="s">
        <v>223</v>
      </c>
      <c r="O9" s="64" t="s">
        <v>224</v>
      </c>
      <c r="P9" s="64" t="s">
        <v>375</v>
      </c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</row>
    <row r="10" ht="15.75" customHeight="1">
      <c r="A10" s="105" t="s">
        <v>353</v>
      </c>
      <c r="B10" s="105" t="s">
        <v>355</v>
      </c>
      <c r="C10" s="105" t="s">
        <v>229</v>
      </c>
      <c r="D10" s="105" t="s">
        <v>133</v>
      </c>
      <c r="E10" s="105" t="s">
        <v>230</v>
      </c>
      <c r="F10" s="105" t="s">
        <v>231</v>
      </c>
      <c r="G10" s="105">
        <v>20.0</v>
      </c>
      <c r="H10" s="105" t="s">
        <v>233</v>
      </c>
      <c r="I10" s="105" t="s">
        <v>234</v>
      </c>
      <c r="J10" s="105" t="s">
        <v>131</v>
      </c>
      <c r="K10" s="105" t="s">
        <v>363</v>
      </c>
      <c r="L10" s="105" t="s">
        <v>368</v>
      </c>
      <c r="M10" s="105" t="s">
        <v>87</v>
      </c>
      <c r="N10" s="105" t="s">
        <v>235</v>
      </c>
      <c r="O10" s="105" t="s">
        <v>236</v>
      </c>
      <c r="P10" s="105">
        <v>2410.0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 ht="15.75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</row>
    <row r="12" ht="15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</row>
    <row r="13" ht="15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</row>
    <row r="14" ht="15.7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</row>
    <row r="15" ht="15.7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</row>
    <row r="16" ht="15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</row>
    <row r="17" ht="15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</row>
    <row r="18" ht="15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</row>
    <row r="19" ht="15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</row>
    <row r="20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</row>
    <row r="2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</row>
    <row r="23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3" width="25.86"/>
    <col customWidth="1" min="14" max="14" width="45.0"/>
  </cols>
  <sheetData>
    <row r="1" ht="24.0" customHeight="1">
      <c r="A1" s="77" t="s">
        <v>108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5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3" t="s">
        <v>70</v>
      </c>
      <c r="B3" s="60" t="s">
        <v>538</v>
      </c>
      <c r="C3" s="3"/>
      <c r="D3" s="4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53" t="s">
        <v>76</v>
      </c>
      <c r="B4" s="24" t="s">
        <v>539</v>
      </c>
      <c r="C4" s="3"/>
      <c r="D4" s="4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3" t="s">
        <v>77</v>
      </c>
      <c r="B5" s="60" t="s">
        <v>540</v>
      </c>
      <c r="C5" s="3"/>
      <c r="D5" s="4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3" t="s">
        <v>83</v>
      </c>
      <c r="B6" s="60" t="s">
        <v>87</v>
      </c>
      <c r="C6" s="60" t="s">
        <v>87</v>
      </c>
      <c r="D6" s="81" t="s">
        <v>87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3" t="s">
        <v>94</v>
      </c>
      <c r="B7" s="60" t="s">
        <v>87</v>
      </c>
      <c r="C7" s="3"/>
      <c r="D7" s="4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30.0" customHeight="1">
      <c r="A9" s="64" t="s">
        <v>106</v>
      </c>
      <c r="B9" s="64" t="s">
        <v>216</v>
      </c>
      <c r="C9" s="64" t="s">
        <v>114</v>
      </c>
      <c r="D9" s="64" t="s">
        <v>115</v>
      </c>
      <c r="E9" s="64" t="s">
        <v>128</v>
      </c>
      <c r="F9" s="64" t="s">
        <v>217</v>
      </c>
      <c r="G9" s="64" t="s">
        <v>248</v>
      </c>
      <c r="H9" s="64" t="s">
        <v>220</v>
      </c>
      <c r="I9" s="64" t="s">
        <v>221</v>
      </c>
      <c r="J9" s="64" t="s">
        <v>107</v>
      </c>
      <c r="K9" s="64" t="s">
        <v>389</v>
      </c>
      <c r="L9" s="64" t="s">
        <v>393</v>
      </c>
      <c r="M9" s="64" t="s">
        <v>397</v>
      </c>
      <c r="N9" s="64" t="s">
        <v>400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5.75" customHeight="1">
      <c r="A10" s="69" t="s">
        <v>380</v>
      </c>
      <c r="B10" s="69" t="s">
        <v>382</v>
      </c>
      <c r="C10" s="69" t="s">
        <v>229</v>
      </c>
      <c r="D10" s="69" t="s">
        <v>133</v>
      </c>
      <c r="E10" s="69" t="s">
        <v>230</v>
      </c>
      <c r="F10" s="69" t="s">
        <v>231</v>
      </c>
      <c r="G10" s="69" t="s">
        <v>385</v>
      </c>
      <c r="H10" s="69" t="s">
        <v>233</v>
      </c>
      <c r="I10" s="69" t="s">
        <v>234</v>
      </c>
      <c r="J10" s="69" t="s">
        <v>131</v>
      </c>
      <c r="K10" s="69" t="s">
        <v>392</v>
      </c>
      <c r="L10" s="69" t="s">
        <v>396</v>
      </c>
      <c r="M10" s="69">
        <v>0.087</v>
      </c>
      <c r="N10" s="69" t="s">
        <v>403</v>
      </c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5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5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5.7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5.7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5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5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5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D3"/>
    <mergeCell ref="B4:D4"/>
    <mergeCell ref="B5:D5"/>
    <mergeCell ref="B7:D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2026-09-09T06:41:52Z</dcterms:created>
  <dc:creator>openpyxl</dc:creator>
</cp:coreProperties>
</file>