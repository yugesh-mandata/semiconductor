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5"/>
    <sheet state="visible" name="FT_LIST_ZONE" sheetId="2" r:id="rId6"/>
    <sheet state="visible" name="FT_ZONE_LINEAGE" sheetId="3" r:id="rId7"/>
    <sheet state="visible" name="FT_PRESENCE_HOURLY" sheetId="4" r:id="rId8"/>
    <sheet state="visible" name="FT_DWELL_DAILY" sheetId="5" r:id="rId9"/>
    <sheet state="visible" name="FT_MOVEMENT_OD_DAILY" sheetId="6" r:id="rId10"/>
    <sheet state="visible" name="FT_METRICS_DAILY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tc={0eafdb2f-e1d8-413d-80d0-ebdfe1f81793}</author>
    <author>tc={1197f233-b3d2-4c8f-ac1e-7f38fa4fa17f}</author>
    <author>tc={227bf41c-40e1-459a-b4fd-261693153f01}</author>
    <author>tc={2fa5e39f-4a84-4863-baee-c562fe31a057}</author>
    <author>tc={38bb68a9-01ef-4e0a-a35e-0a24d86ff016}</author>
    <author>tc={5e10a256-4e93-47e1-89dc-48b8f242cd16}</author>
    <author>tc={78e074c6-a54b-4117-b765-22ad04ac4c0b}</author>
    <author>tc={8118d1e0-4ae5-47a3-a846-7209787d35fc}</author>
    <author>tc={a18d396e-66fe-4ac2-b61b-c6b4c9cc5ae3}</author>
    <author>tc={f6c6c7d2-c9b8-44be-a619-579cc3c38dd2}</author>
  </authors>
  <commentList>
    <comment authorId="0" xr:uid="{0eafdb2f-e1d8-413d-80d0-ebdfe1f81793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Does one fab has multiple zones or a singe zone
</t>
      </text>
    </comment>
    <comment authorId="1" xr:uid="{1197f233-b3d2-4c8f-ac1e-7f38fa4fa17f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call this data instant when it's actually an hourly aggrigate
</t>
      </text>
    </comment>
    <comment authorId="2" xr:uid="{227bf41c-40e1-459a-b4fd-261693153f01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say zone-master
</t>
      </text>
    </comment>
    <comment authorId="3" xr:uid="{2fa5e39f-4a84-4863-baee-c562fe31a057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all of this data is derived from the activity_at
Reply:
	No, it's received from the owner
</t>
      </text>
    </comment>
    <comment authorId="4" xr:uid="{38bb68a9-01ef-4e0a-a35e-0a24d86ff016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How zone code are assigned ?
</t>
      </text>
    </comment>
    <comment authorId="5" xr:uid="{5e10a256-4e93-47e1-89dc-48b8f242cd16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to distinguish whether it's fronting fab or packaging test?
</t>
      </text>
    </comment>
    <comment authorId="6" xr:uid="{78e074c6-a54b-4117-b765-22ad04ac4c0b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 we want to inform with this data
</t>
      </text>
    </comment>
    <comment authorId="7" xr:uid="{8118d1e0-4ae5-47a3-a846-7209787d35fc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simulation date
</t>
      </text>
    </comment>
    <comment authorId="8" xr:uid="{a18d396e-66fe-4ac2-b61b-c6b4c9cc5ae3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What does each category mean
- Why do we need to create a population type
- How do we categories a population type
</t>
      </text>
    </comment>
    <comment authorId="9" xr:uid="{f6c6c7d2-c9b8-44be-a619-579cc3c38dd2}" ref="C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Code or accepted values
</t>
      </text>
    </comment>
  </commentList>
</comments>
</file>

<file path=xl/sharedStrings.xml><?xml version="1.0" encoding="utf-8"?>
<sst xmlns="http://schemas.openxmlformats.org/spreadsheetml/2006/main" count="903" uniqueCount="500">
  <si>
    <t>FT_LIST_ZONE</t>
  </si>
  <si>
    <t>Definition</t>
  </si>
  <si>
    <t>Master/reference table mapping Company -&gt; Campus -&gt; Production Unit -&gt; Zone, including zone_type and product_association tagging. All other four files join to this table via zone_code. This table itself contains no activity/observation data.</t>
  </si>
  <si>
    <t xml:space="preserve">UNDERSTANDING </t>
  </si>
  <si>
    <t>FT_PRESENCE_HOURLY</t>
  </si>
  <si>
    <t>Instant vs. Interval</t>
  </si>
  <si>
    <t>Neither Instant nor Interval</t>
  </si>
  <si>
    <t>ACTION</t>
  </si>
  <si>
    <t>What information does this record provide for investment decisions</t>
  </si>
  <si>
    <t>Key Grain</t>
  </si>
  <si>
    <t>company x campus x production_unit x zone (one row per zone_code x record version)</t>
  </si>
  <si>
    <t>Key Inference</t>
  </si>
  <si>
    <t>Korea Semiconductor Fab Activity Data</t>
  </si>
  <si>
    <t>TBD</t>
  </si>
  <si>
    <t>Version: 20260916</t>
  </si>
  <si>
    <t>Limitation</t>
  </si>
  <si>
    <t>Estimated unique-person population present in a zone at a given hour - a snapshot read of 'presence'.</t>
  </si>
  <si>
    <t>This is a client layout</t>
  </si>
  <si>
    <t>- Fix typos</t>
  </si>
  <si>
    <t>Instant (Snapshot)</t>
  </si>
  <si>
    <t>record_id</t>
  </si>
  <si>
    <t>effective_at</t>
  </si>
  <si>
    <t>pit_available_at</t>
  </si>
  <si>
    <t>company_name_en</t>
  </si>
  <si>
    <t>security_code</t>
  </si>
  <si>
    <t>campus_name</t>
  </si>
  <si>
    <t>FT_DWELL_DAILY</t>
  </si>
  <si>
    <t>campus_code</t>
  </si>
  <si>
    <t>campus_address</t>
  </si>
  <si>
    <t>production_unit_type</t>
  </si>
  <si>
    <t>production_unit_name</t>
  </si>
  <si>
    <t>date x hour x zone(cell) x population_type (x segment)</t>
  </si>
  <si>
    <t>zone_type</t>
  </si>
  <si>
    <t>production_unit_code</t>
  </si>
  <si>
    <t>zone_code</t>
  </si>
  <si>
    <t>zone_type_confidence</t>
  </si>
  <si>
    <t>primary_product_association</t>
  </si>
  <si>
    <t>product_association_confidence</t>
  </si>
  <si>
    <t>ICHEON_CAMPUS</t>
  </si>
  <si>
    <t>[Introduction]</t>
  </si>
  <si>
    <t>(17336) 2091, Gyeongchung -daero, Bubal -eup, Icheon -si, Gyeonggi -do</t>
  </si>
  <si>
    <t>FRONT_END_FAB</t>
  </si>
  <si>
    <t>M16</t>
  </si>
  <si>
    <t>OP</t>
  </si>
  <si>
    <t>SKH_ICH_M16</t>
  </si>
  <si>
    <t xml:space="preserve">SKH_ICH_01 </t>
  </si>
  <si>
    <t>high</t>
  </si>
  <si>
    <t>Dataset name</t>
  </si>
  <si>
    <t>DRAM</t>
  </si>
  <si>
    <t>Korea Semiconductor Fab Activity Signal</t>
  </si>
  <si>
    <t>PACKAGING_TEST</t>
  </si>
  <si>
    <t>EX</t>
  </si>
  <si>
    <t>Daily population count bucketed by dwell start-hour x dwell-duration, used to separate short visits from long-duration presence (e.g. construction/installation crews).</t>
  </si>
  <si>
    <t>-</t>
  </si>
  <si>
    <t>HBM</t>
  </si>
  <si>
    <t>UNKNOWN</t>
  </si>
  <si>
    <t>RD</t>
  </si>
  <si>
    <t>Data design &amp; maintenance provider</t>
  </si>
  <si>
    <t>NAND</t>
  </si>
  <si>
    <t>Interval</t>
  </si>
  <si>
    <t>Mandata Corporation ('MD')</t>
  </si>
  <si>
    <t>MIXED</t>
  </si>
  <si>
    <t>LG</t>
  </si>
  <si>
    <t>LOGIC</t>
  </si>
  <si>
    <t>date x zone(grid) x dwell_start_hour x duration_code</t>
  </si>
  <si>
    <t>CT</t>
  </si>
  <si>
    <t>record_version</t>
  </si>
  <si>
    <t>activity_at</t>
  </si>
  <si>
    <t>activity_date</t>
  </si>
  <si>
    <t>Key methodology and metrics</t>
  </si>
  <si>
    <t>activity_hour</t>
  </si>
  <si>
    <t>day_of_week</t>
  </si>
  <si>
    <t>is_public_holiday</t>
  </si>
  <si>
    <t>- Investment Metrics &lt;== Foot Traffic (FT) Metrics &lt;== data layout (files)
- MD divides all FT data into 'instant' and 'interval' concepts</t>
  </si>
  <si>
    <t>population_type</t>
  </si>
  <si>
    <t>population_presence</t>
  </si>
  <si>
    <t>- Foot traffic data is used as a metric for investment
- Instant: Hourly 
- Interval: Long duration</t>
  </si>
  <si>
    <t>- Define methodology and metrics
- What does it mean 
- Why it is important for client
- Why do we have instant and interval</t>
  </si>
  <si>
    <t>Major data source</t>
  </si>
  <si>
    <t>Powered by KT Corporation (mobile-network population data)</t>
  </si>
  <si>
    <t>TOTAL</t>
  </si>
  <si>
    <t>effecitve_from</t>
  </si>
  <si>
    <t>RP</t>
  </si>
  <si>
    <t>Data gathering process</t>
  </si>
  <si>
    <t>KT-processed mobility data + MD's fab-campus / zone mapping, standardization and enrichment.</t>
  </si>
  <si>
    <t>WP</t>
  </si>
  <si>
    <t xml:space="preserve">- What kind of standardisation and enrichment are we performing.
</t>
  </si>
  <si>
    <t>VP</t>
  </si>
  <si>
    <t>What it measures</t>
  </si>
  <si>
    <t>ICH</t>
  </si>
  <si>
    <t>- Physical activity — population presence, dwell, and movement — observed within semiconductor fab campuses and Mandata analysis zones. A proxy for fab operating and expansion activity; NOT official production output - MD defines the original data into the instant (snapshot) based one and interval based one.</t>
  </si>
  <si>
    <t>OP(Operation)</t>
  </si>
  <si>
    <t>UNCLASSIFIED</t>
  </si>
  <si>
    <t>activity_start_hour</t>
  </si>
  <si>
    <t>duration_code</t>
  </si>
  <si>
    <t xml:space="preserve">FAB
</t>
  </si>
  <si>
    <t>FAQ: How the data is sourced and the basic data lineage
DDQ: Data diligence question</t>
  </si>
  <si>
    <t>population_segment</t>
  </si>
  <si>
    <t>- Rewrite it for more clarity</t>
  </si>
  <si>
    <t>population_dwell</t>
  </si>
  <si>
    <t>Ticker / fab coverage</t>
  </si>
  <si>
    <t>EX: Expansion</t>
  </si>
  <si>
    <t>SK Hynix Inc — ISIN KR7000660001 (000660): 3 campuses · Samsung Electronics Co Ltd — ISIN KR7005930003: 5 campuses</t>
  </si>
  <si>
    <t>P&amp;T</t>
  </si>
  <si>
    <t>M30_59</t>
  </si>
  <si>
    <t>CD: Campus Division</t>
  </si>
  <si>
    <t>DOMESTIC</t>
  </si>
  <si>
    <t>Source signal</t>
  </si>
  <si>
    <t>LTE/5G signal + CDR at base stations, augmented with GPS / MDT (GNSS)</t>
  </si>
  <si>
    <t>M60_119</t>
  </si>
  <si>
    <t>FOREIGN_LONG_TERM</t>
  </si>
  <si>
    <t>M120_179</t>
  </si>
  <si>
    <t>FOREIGN_SHORT_TERM</t>
  </si>
  <si>
    <t>Panel &amp; scale-up (TBD)</t>
  </si>
  <si>
    <t>KT mobile subscribers, grossed up 4-step: market-share inverse → LTE/5G subscription rate → phone-on ratio → resident-registration calibration</t>
  </si>
  <si>
    <t>M180_239</t>
  </si>
  <si>
    <t>M240_PLUS</t>
  </si>
  <si>
    <t>- Understand the meaning behind this</t>
  </si>
  <si>
    <t>[Data coverage and frequencies]</t>
  </si>
  <si>
    <t>Locational taxonomy</t>
  </si>
  <si>
    <t>Overall structure</t>
  </si>
  <si>
    <t>Company &gt; Campus &gt; Production Unit &gt; Zone</t>
  </si>
  <si>
    <t>- How the classification is done has to be defined</t>
  </si>
  <si>
    <t>- Rewrite the classification</t>
  </si>
  <si>
    <t>Company and Campus</t>
  </si>
  <si>
    <t xml:space="preserve">Our dataset only concerns any memory production-related campus, excluding hq, R&amp;D centers, not-memory related production facilities and campuses </t>
  </si>
  <si>
    <t>Production Unit</t>
  </si>
  <si>
    <t>Production related facilities in the campus. Production Units consist of FRONT_END_FAB or PACKAGING_TEST</t>
  </si>
  <si>
    <t>Fab</t>
  </si>
  <si>
    <t>Front-end wafer related production units</t>
  </si>
  <si>
    <t>Zone</t>
  </si>
  <si>
    <t>- MD-classified functional divisions under the campus (OP / EX / MIXED / UNKNOWN). Core investment analysis concerns OP (Operational) and EX (Expansion construction); MIXED and UNKNOWN flag zones that could not be cleanly classified into a single type.
- Zone-level data are mapped to a specific Production Unit only when the Zone can be unambiguously attributed to that Production Unit. Zone is the key value of this dataset</t>
  </si>
  <si>
    <t>Spatial units</t>
  </si>
  <si>
    <t>50m KATEC cell (presence) · 250m UTM-K grid (dwell) · administrative SGG / city-county-district (movement OD)</t>
  </si>
  <si>
    <t>- Understand what spatial units mean</t>
  </si>
  <si>
    <t>Point-in-time policy</t>
  </si>
  <si>
    <r>
      <rPr>
        <rFont val="Roboto"/>
        <b/>
        <color rgb="FF000000"/>
        <sz val="12.0"/>
      </rPr>
      <t xml:space="preserve">- PIT by the record code, record version, effective (or activity) time (e.g., effective_at), available time (e.g., pit_as_of_date).
</t>
    </r>
    <r>
      <rPr>
        <rFont val="Roboto"/>
        <b val="0"/>
        <color rgb="FF000000"/>
        <sz val="12.0"/>
      </rPr>
      <t>- Backtests must only use rows with pit_as_of_date &lt;= simulation date
- Restatements are delivered by the record version, never overwritten silently</t>
    </r>
  </si>
  <si>
    <t>- Research on whether this is a standard way or can we use SCD type 2</t>
  </si>
  <si>
    <t>Frequency &amp; Lag</t>
  </si>
  <si>
    <t>Delivery frequency</t>
  </si>
  <si>
    <t>Daily (calendar day based)</t>
  </si>
  <si>
    <t>Data frequency</t>
  </si>
  <si>
    <t>- Hourly: FT_PRESENCE_HOURLY
- Daily: FT_DWELL_DAILY, FT_MOVEMENT_OD_DAILY, and FT_METRICS_DAILY</t>
  </si>
  <si>
    <t>Rewrite</t>
  </si>
  <si>
    <t>Lag</t>
  </si>
  <si>
    <t>5 business days</t>
  </si>
  <si>
    <t>- The data delivered today is D-5
e.g. If today is 10/15 the data delivered today is  of 10/10</t>
  </si>
  <si>
    <t xml:space="preserve">- Confirm the understanding </t>
  </si>
  <si>
    <t>History</t>
  </si>
  <si>
    <t>From 2020-01-01</t>
  </si>
  <si>
    <t>[Files]</t>
  </si>
  <si>
    <t>what makes one record unique</t>
  </si>
  <si>
    <t>File</t>
  </si>
  <si>
    <t>Measurement basis</t>
  </si>
  <si>
    <t>Record grain</t>
  </si>
  <si>
    <t>Frequency</t>
  </si>
  <si>
    <t>What does a record represent</t>
  </si>
  <si>
    <t>Registry: fab &amp; zone master (versioned)</t>
  </si>
  <si>
    <t>company × fab × zone</t>
  </si>
  <si>
    <t>On change (versioned)</t>
  </si>
  <si>
    <t>A zone in a campus along with it's details</t>
  </si>
  <si>
    <t>Instant: unique persons present</t>
  </si>
  <si>
    <t>date × hour × cell × population_type × segment</t>
  </si>
  <si>
    <t>Hourly, delivered daily</t>
  </si>
  <si>
    <t>How many unique people were estimated to be present in this zone, at this hour, for this population type?</t>
  </si>
  <si>
    <t>- Clarify on measurement basis</t>
  </si>
  <si>
    <t>Interval: Dwell — start hour × duration bucket</t>
  </si>
  <si>
    <t>date × start_hour × zone ×  population_type × duration_code</t>
  </si>
  <si>
    <t>Daily</t>
  </si>
  <si>
    <t>How many population stayed for how long started in this hour
e.g There were 200 working population (WP) that have stayed for 40 min (M30_59) at sk_fab-001</t>
  </si>
  <si>
    <t>FT_MOVEMENT_OD_DAILY</t>
  </si>
  <si>
    <t>Interval: Origin–destination movement</t>
  </si>
  <si>
    <t>date × hour × origin × destination</t>
  </si>
  <si>
    <t>FT_METRICS_DAILY</t>
  </si>
  <si>
    <t>Derived standardized metrics (FT01–FT12)</t>
  </si>
  <si>
    <t>date × fab × zone × metric × parameters</t>
  </si>
  <si>
    <t>[Data Dictionary]</t>
  </si>
  <si>
    <t>0/blank legends</t>
  </si>
  <si>
    <t>0</t>
  </si>
  <si>
    <t>zero activity (i.e. available but no observed activity)</t>
  </si>
  <si>
    <t>(blank) or N/A</t>
  </si>
  <si>
    <t>N/A (e.g. not applicable / not provided for this row)</t>
  </si>
  <si>
    <t>missing date</t>
  </si>
  <si>
    <t>No data was collected or observed on that date</t>
  </si>
  <si>
    <t>file name</t>
  </si>
  <si>
    <t>field name</t>
  </si>
  <si>
    <t>field values / reference</t>
  </si>
  <si>
    <t>dtype(schema)</t>
  </si>
  <si>
    <t>description</t>
  </si>
  <si>
    <t>Illustrative value</t>
  </si>
  <si>
    <t>My Interpretation</t>
  </si>
  <si>
    <t>System-generated unique key</t>
  </si>
  <si>
    <t>VARCHAR(40)</t>
  </si>
  <si>
    <t xml:space="preserve">- Unique identifier for this specific version of a zone
- &lt;company_code&gt;&lt;campus_code&gt;&lt;auto_increment&gt;
- Record id changes when the </t>
  </si>
  <si>
    <t>SK_ICH_001</t>
  </si>
  <si>
    <t xml:space="preserve">Unique identity of a zone in a master table that holds all zones </t>
  </si>
  <si>
    <t>Why can't I say "Unique identifier of a zone composed of zone_code + record version"</t>
  </si>
  <si>
    <t>effective_from</t>
  </si>
  <si>
    <t>DATE</t>
  </si>
  <si>
    <t>Date this zone version becomes valid</t>
  </si>
  <si>
    <t>2026-01-01</t>
  </si>
  <si>
    <t>Date on which zone was created</t>
  </si>
  <si>
    <t xml:space="preserve">- Is it for the purpose of updated information
- Why do we need this </t>
  </si>
  <si>
    <t>effective_to</t>
  </si>
  <si>
    <t>Date this zone version stops being valid; NULL if current</t>
  </si>
  <si>
    <t>First date this version became available to clients</t>
  </si>
  <si>
    <t>2026-01-05</t>
  </si>
  <si>
    <t>Date at which zone was made public for the client</t>
  </si>
  <si>
    <t>- How this is difference with effective_at</t>
  </si>
  <si>
    <t>Listed-company name in English</t>
  </si>
  <si>
    <t>SK HYNIX INC</t>
  </si>
  <si>
    <t>ISIN (12-digit)</t>
  </si>
  <si>
    <t>VARCHAR(12)</t>
  </si>
  <si>
    <t>International Securities Identification Number (ISIN) identifying the listed company: 2-letter country code (KR) + 9-digit national security identifier + 1 check digit</t>
  </si>
  <si>
    <t>KR7000660001</t>
  </si>
  <si>
    <t>VARCHAR(24)</t>
  </si>
  <si>
    <t>Campus name</t>
  </si>
  <si>
    <t>ICHEON</t>
  </si>
  <si>
    <t>VARCHAR(16)</t>
  </si>
  <si>
    <t>Mandata-assigned identifier for the campus</t>
  </si>
  <si>
    <t xml:space="preserve">- </t>
  </si>
  <si>
    <t>Confirm that it is a short form of of campus name</t>
  </si>
  <si>
    <t>VARCHAR(80)</t>
  </si>
  <si>
    <t>Fab campus address</t>
  </si>
  <si>
    <t>2091 Gyeongchung-daero, Bubal-eup, Icheon-si</t>
  </si>
  <si>
    <t>Display name of the production unit within the campus (front-end fab or packaging/test facility)</t>
  </si>
  <si>
    <t>Icheon M16 Front-End Fab</t>
  </si>
  <si>
    <t>Why do we need this</t>
  </si>
  <si>
    <t>Mandata-assigned identifier for the production unit</t>
  </si>
  <si>
    <t>See Code List - production_unit_type</t>
  </si>
  <si>
    <t>Classifies the production unit as a front-end wafer fab or a packaging/test facility (Production Unit = FRONT_END_FAB or PACKAGING_TEST per product methodology)</t>
  </si>
  <si>
    <t>Mandata-assigned identifier for the analysis zone; this is the key value of the dataset</t>
  </si>
  <si>
    <t>ICH_OP_001</t>
  </si>
  <si>
    <t>See Code List - zone_type</t>
  </si>
  <si>
    <t>VARCHAR(4)</t>
  </si>
  <si>
    <t>Functional classification of the zone: Operations / Expansion / R&amp;D-Office / Logistics-Gate / Control. Dataset currently concerns OP and EX only</t>
  </si>
  <si>
    <t>See Code List - zone_type_confidence</t>
  </si>
  <si>
    <t>VARCHAR(8)</t>
  </si>
  <si>
    <t>Confidence level of the zone-type classification</t>
  </si>
  <si>
    <t>HIGH</t>
  </si>
  <si>
    <t>See Code List - primary_product_association</t>
  </si>
  <si>
    <t>Product family the zone is associated with, by public/spatial tagging (association only - NOT a direct production measurement; expressed as e.g. 'HBM-associated fab activity')</t>
  </si>
  <si>
    <t>Defines the type of product a zone produces</t>
  </si>
  <si>
    <t>- Confirm this understanding</t>
  </si>
  <si>
    <t>See Code List - product_association_confidence</t>
  </si>
  <si>
    <t>Confidence level of the product-association tagging</t>
  </si>
  <si>
    <t>HIGHLY_ASSOC</t>
  </si>
  <si>
    <t>coverage_area</t>
  </si>
  <si>
    <t>Total area of a zone. This will give how the zone has evolved</t>
  </si>
  <si>
    <t>INT</t>
  </si>
  <si>
    <t>Unique identifier for this hourly presence record</t>
  </si>
  <si>
    <t>PRES_20260717_08_ICH_OP_001_TOTAL</t>
  </si>
  <si>
    <t>- Describe the ways to create recod</t>
  </si>
  <si>
    <t>INTEGER</t>
  </si>
  <si>
    <t>Version number of this record. Restatements are delivered as a new record_version, never overwritten silently</t>
  </si>
  <si>
    <t>1</t>
  </si>
  <si>
    <t>- When there are corrections in value a record with new versions (higher record_version) is added 
- earlier versions are never changed or deleted, so client can always see what was known on any past date.</t>
  </si>
  <si>
    <t>record_version  population_presence  pit_available_at
--------------  -------------------  ----------------
1               1254.3               2026-07-18
2               1301.7               2026-07-25</t>
  </si>
  <si>
    <t xml:space="preserve">When dealing with data versioning we can use SCD type 2 which has
- In which a record has start date and end date.
- If end date is null it shows latest date, </t>
  </si>
  <si>
    <t xml:space="preserve">When dealing with dealing with data versioning we can use SCD type 2 which has
- In which a record has start date and end date.
- If end date is null it shows latest date, </t>
  </si>
  <si>
    <t>DATETIME</t>
  </si>
  <si>
    <t>Timestamp of the observed activity (activity_date + activity_hour combined)</t>
  </si>
  <si>
    <t>2026-07-17 08:00</t>
  </si>
  <si>
    <t>Timestamp of the event</t>
  </si>
  <si>
    <t>Point-in-time as-of date: first date this row was available to clients. Backtests must only use rows with pit_available_at &lt;= simulation date</t>
  </si>
  <si>
    <t>2026-07-18</t>
  </si>
  <si>
    <t xml:space="preserve">This is the time at which the data is available for the clients. </t>
  </si>
  <si>
    <t>Calendar date on which the activity occurred</t>
  </si>
  <si>
    <t>2026-07-17</t>
  </si>
  <si>
    <t>0-23</t>
  </si>
  <si>
    <t>TINYINT</t>
  </si>
  <si>
    <t>Hour of day (0-23). Reference shift roll-up: Day 07-15 / Swing 15-23 / Night 23-07</t>
  </si>
  <si>
    <t>8</t>
  </si>
  <si>
    <t>What does shift roll-up means and what role does it play</t>
  </si>
  <si>
    <t>MON-SUN</t>
  </si>
  <si>
    <t>VARCHAR(3)</t>
  </si>
  <si>
    <t>Day of week, derived from activity_date</t>
  </si>
  <si>
    <t>FRI</t>
  </si>
  <si>
    <t>Y/N</t>
  </si>
  <si>
    <t>CHAR(1)</t>
  </si>
  <si>
    <t>Whether activity_date is a designated public holiday</t>
  </si>
  <si>
    <t>N</t>
  </si>
  <si>
    <t>Mandata analysis-zone identifier (links to FT_LIST_ZONE.zone_code)</t>
  </si>
  <si>
    <t>See Code List - population_type</t>
  </si>
  <si>
    <t>Population classification derived by Mandata by comparing the zone's location against the day/night resident SGG (city/county/district) codes supplied by KT (see Code List - population_type). TOTAL = all persons present; WP/VP/RP/UNCLASSIFIED are Mandata-derived sub-categories, not delivered directly by KT.</t>
  </si>
  <si>
    <t>DOUBLE</t>
  </si>
  <si>
    <t>Estimated unique-person population present in the zone at this hour (instant/snapshot basis)</t>
  </si>
  <si>
    <t>1254.3</t>
  </si>
  <si>
    <t>Unique identifier for this dwell record</t>
  </si>
  <si>
    <t>DWELL_20260717_08_M60_119_ICH_EX_001</t>
  </si>
  <si>
    <t>Version number of this record (see FT_PRESENCE_HOURLY.record_version)</t>
  </si>
  <si>
    <t>Timestamp of the dwell-start observation (activity_date + activity_start_hour)</t>
  </si>
  <si>
    <t>Point-in-time as-of date (see FT_PRESENCE_HOURLY)</t>
  </si>
  <si>
    <t>Calendar date on which the dwell period began</t>
  </si>
  <si>
    <t>Hour of day at which the dwell period started (arrival hour)</t>
  </si>
  <si>
    <t>See Code List - duration_code</t>
  </si>
  <si>
    <t>Dwell-duration bucket the zone falls into for this start hour (see Code List - duration_code). Source data (KT STY_MNUT_CD) currently tops out at a single 240+ minute bucket, so distinguishing multi-hour construction/installation dwell beyond 4 hours is not yet possible from raw data.</t>
  </si>
  <si>
    <t>ICH_EX_001</t>
  </si>
  <si>
    <t>ALL or demographic segment</t>
  </si>
  <si>
    <t>Population segment of the dwell estimate. ALL for MVP; demographic segment where available</t>
  </si>
  <si>
    <t>ALL</t>
  </si>
  <si>
    <t>Population classification of the dwell estimate (see FT_PRESENCE_HOURLY.population_type)</t>
  </si>
  <si>
    <t>Estimated population count within this start-hour x duration bucket</t>
  </si>
  <si>
    <t>326</t>
  </si>
  <si>
    <t>Unique identifier for this movement (origin-destination) record</t>
  </si>
  <si>
    <t>OD_20260717_20_ICH_OP_001_11680</t>
  </si>
  <si>
    <t>Timestamp of the observed movement (activity_date + activity_hour)</t>
  </si>
  <si>
    <t>2026-07-17 20:00</t>
  </si>
  <si>
    <t>Calendar date on which the movement occurred</t>
  </si>
  <si>
    <t>Hour of day of the movement volume</t>
  </si>
  <si>
    <t>20</t>
  </si>
  <si>
    <t>Fab zone whose administrative area is the origin or destination of this movement (links to FT_LIST_ZONE.zone_code)</t>
  </si>
  <si>
    <t>origin_geo_code</t>
  </si>
  <si>
    <t>VARCHAR(10)</t>
  </si>
  <si>
    <t>Administrative SGG (city/county/district) code of the movement's origin. KT delivers this at SGG granularity rather than administrative-dong to reduce noise (per KT/MD agreement); zone-to-zone OD is not available.</t>
  </si>
  <si>
    <t>11680</t>
  </si>
  <si>
    <t>origin_distance_band_code</t>
  </si>
  <si>
    <t>See Code List - origin_distance_band_code</t>
  </si>
  <si>
    <t>Distance-band classification of the origin SGG relative to the fab zone (see Code List - origin_distance_band_code for band definitions).</t>
  </si>
  <si>
    <t>D10_30</t>
  </si>
  <si>
    <t>Demographic segment of the movement population. ALL for MVP</t>
  </si>
  <si>
    <t>population_20_64_origin</t>
  </si>
  <si>
    <t>Estimated movement population aged 20-64 (economically active age) originating from origin_geo_code - supports commuting-catchment / labor-supply analysis</t>
  </si>
  <si>
    <t>2410</t>
  </si>
  <si>
    <t>Unique identifier for this metric record</t>
  </si>
  <si>
    <t>MET_20260717_ICH_OP_001_FT02</t>
  </si>
  <si>
    <t>Version number of this metric record</t>
  </si>
  <si>
    <t>Timestamp of the underlying activity this metric summarizes</t>
  </si>
  <si>
    <t>2026-07-17 00:00</t>
  </si>
  <si>
    <t>Point-in-time as-of date of this metric version</t>
  </si>
  <si>
    <t>Metric reference date (calendar date this metric row summarizes)</t>
  </si>
  <si>
    <t>(Draft) Hour parameter associated with the metric, if the metric is computed at hourly granularity; likely blank/N/A for metrics computed at daily grain</t>
  </si>
  <si>
    <t>N/A</t>
  </si>
  <si>
    <t>Day of week corresponding to the metric date, provided for convenience filtering</t>
  </si>
  <si>
    <t>Whether the metric date is a designated public holiday, provided for convenience filtering</t>
  </si>
  <si>
    <t>Mandata analysis-zone identifier this metric is calculated for (or a fab-level aggregate)</t>
  </si>
  <si>
    <t>ft_metrics_name</t>
  </si>
  <si>
    <t>See Code List - ft_metrics_code ("label_on" column)</t>
  </si>
  <si>
    <t>Standard FT-metric display name</t>
  </si>
  <si>
    <t>Activity Momentum</t>
  </si>
  <si>
    <t>ft_metrics_code</t>
  </si>
  <si>
    <t>See Code List - ft_metrics_code</t>
  </si>
  <si>
    <t>Standard FT-metric code (FT01-FT12)</t>
  </si>
  <si>
    <t>FT02</t>
  </si>
  <si>
    <t>ft_metrics_value</t>
  </si>
  <si>
    <t>Calculated metric value for this zone / date / metric combination</t>
  </si>
  <si>
    <t>0.087</t>
  </si>
  <si>
    <t>formula</t>
  </si>
  <si>
    <t>VARCHAR(200)</t>
  </si>
  <si>
    <t>Description or reference of the calculation formula/methodology used to derive ft_metrics_value</t>
  </si>
  <si>
    <t>(P_t - avg(P_t-28..t-1)) / avg(P_t-28..t-1)</t>
  </si>
  <si>
    <t>DRAFT NOTE — All sample rows across tabs are illustrative only. The final zone registry, codes and values are delivered at customer onboarding.</t>
  </si>
  <si>
    <t>[Code List]</t>
  </si>
  <si>
    <t>code_list_name</t>
  </si>
  <si>
    <t>code</t>
  </si>
  <si>
    <t>label_on</t>
  </si>
  <si>
    <t>definition</t>
  </si>
  <si>
    <t>Front-End Fab</t>
  </si>
  <si>
    <t>Front-end wafer production process facility (Production Unit = FRONT_END_FAB or PACKAGING_TEST)</t>
  </si>
  <si>
    <t>- This has to be thoroughly evaluated to determine how it is represented with zone type</t>
  </si>
  <si>
    <t>Packaging &amp; Test</t>
  </si>
  <si>
    <t>Packaging / test process facility</t>
  </si>
  <si>
    <t>Zone Type: op, ex, other_zone
production_unit_type: fab, pnt, mx, un
for other_zone: rnd, home, st, gate, con</t>
  </si>
  <si>
    <t>How a zone is structured in a polygon</t>
  </si>
  <si>
    <t>When it's clear that the zone will have both  FRONT_END_FAB &amp; PACKAGING_TEST</t>
  </si>
  <si>
    <t>Unknown</t>
  </si>
  <si>
    <t>Production unit type could not be determined from available information</t>
  </si>
  <si>
    <t>Operations Zone</t>
  </si>
  <si>
    <t>Existing core production zone; tracks current production/operating activity - observed for OPS investment indicators</t>
  </si>
  <si>
    <t>Expansion Zone</t>
  </si>
  <si>
    <t>New fab / capacity-expansion / cleanroom / equipment installation &amp; commissioning zone - observed for EXP investment indicators</t>
  </si>
  <si>
    <t>R&amp;D / Office</t>
  </si>
  <si>
    <t>Research, process-development and office areas - non-core operating activity, kept separate from core production zones</t>
  </si>
  <si>
    <t>Logistics / Gate</t>
  </si>
  <si>
    <t>Entry/exit, logistics and shift-boundary areas - supporting diagnostic zone for shift, contractor, installation and logistics activity</t>
  </si>
  <si>
    <t>Control Zone</t>
  </si>
  <si>
    <t>Comparison area with no direct fab activity - control group used to net out common shocks and telecom-panel changes</t>
  </si>
  <si>
    <t>High confidence</t>
  </si>
  <si>
    <t>Zone boundary/type mapping is well established with strong corroborating evidence</t>
  </si>
  <si>
    <t>MEDIUM</t>
  </si>
  <si>
    <t>Medium confidence</t>
  </si>
  <si>
    <t>Zone boundary/type mapping has partial or indirect corroborating evidence</t>
  </si>
  <si>
    <t>LOW</t>
  </si>
  <si>
    <t>Low confidence</t>
  </si>
  <si>
    <t>Zone boundary/type mapping is preliminary or based on limited evidence</t>
  </si>
  <si>
    <t>Inbound movement volume from an administrative SGG (city/county/district) origin to a fab zone destination (Origin-Destination), used to profile where the population working at / visiting a fab zone commutes from.</t>
  </si>
  <si>
    <t>Zone associated with High Bandwidth Memory production/packaging, by public/spatial tagging (association only, not a direct production measurement)</t>
  </si>
  <si>
    <t>Interval; a flow accumulated over an hour, not a point-in-time count</t>
  </si>
  <si>
    <t>Zone associated with DRAM production</t>
  </si>
  <si>
    <t>date x hour x zone(destination) x origin_geo_code (administrative SGG / city-county-district)</t>
  </si>
  <si>
    <t>Zone associated with NAND flash production</t>
  </si>
  <si>
    <t>Zone associated with LOGIC semiconductor production</t>
  </si>
  <si>
    <t>Mixed</t>
  </si>
  <si>
    <t>Zone associated with more than one product family; cannot be uniquely tagged</t>
  </si>
  <si>
    <t>No product association identified for this zone</t>
  </si>
  <si>
    <t>Highly associated</t>
  </si>
  <si>
    <t>Strong public/spatial evidence supporting the tagged product association</t>
  </si>
  <si>
    <t>D60_100</t>
  </si>
  <si>
    <t>ASSOC</t>
  </si>
  <si>
    <t>Associated</t>
  </si>
  <si>
    <t>Moderate evidence supporting the tagged product association</t>
  </si>
  <si>
    <t>UNCERTAIN</t>
  </si>
  <si>
    <t>Uncertain</t>
  </si>
  <si>
    <t>Limited or conflicting evidence for the tagged product association</t>
  </si>
  <si>
    <t>Total population</t>
  </si>
  <si>
    <t>All persons present in the zone/hour, regardless of sub-classification</t>
  </si>
  <si>
    <t>Working population</t>
  </si>
  <si>
    <t>Persons whose day-time resident SGG differs from their night-time resident SGG and whose day-time resident SGG matches the zone's area (i.e., they commute in to work) - derived by Mandata from KT's day/night resident SGG codes (DAY_RSDN_SGG_CD / NGT_RSDN_SGG_CD); not delivered directly by KT</t>
  </si>
  <si>
    <t>Visiting population</t>
  </si>
  <si>
    <t>Persons whose day- and night-time resident SGG both differ from the zone's area (present but not residing or regularly working there) - derived by Mandata from KT's day/night resident SGG codes</t>
  </si>
  <si>
    <t>Resident population</t>
  </si>
  <si>
    <t>Persons whose day- and night-time resident SGG both match the zone's area (i.e., they live in the immediate vicinity) - derived by Mandata from KT's day/night resident SGG codes</t>
  </si>
  <si>
    <t>Unclassified population</t>
  </si>
  <si>
    <t>Persons who cannot be confidently assigned to WP/VP/RP from the day/night resident SGG comparison (e.g., missing or ambiguous SGG match)</t>
  </si>
  <si>
    <t>30-59 minutes</t>
  </si>
  <si>
    <t>Dwell duration bucket: 30 to 59 minutes (matches KT STY_MNUT_CD = 1)</t>
  </si>
  <si>
    <t>60-119 minutes</t>
  </si>
  <si>
    <t>Dwell duration bucket: 60 to 119 minutes (matches KT STY_MNUT_CD = 2)</t>
  </si>
  <si>
    <t>120-179 minutes</t>
  </si>
  <si>
    <t>Dwell duration bucket: 120 to 179 minutes (matches KT STY_MNUT_CD = 3)</t>
  </si>
  <si>
    <t>180-239 minutes</t>
  </si>
  <si>
    <t>Dwell duration bucket: 180 to 239 minutes (matches KT STY_MNUT_CD = 4)</t>
  </si>
  <si>
    <t>240+ minutes</t>
  </si>
  <si>
    <t>Dwell duration bucket: 240 minutes (4 hours) or more (matches KT STY_MNUT_CD = 5). Currently the top bucket - durations beyond 4 hours are not further distinguished in the source data; see FT_DWELL_DAILY sheet Limitation.</t>
  </si>
  <si>
    <t>MON</t>
  </si>
  <si>
    <t>Monday</t>
  </si>
  <si>
    <t>Day of week, derived from the activity/observation date</t>
  </si>
  <si>
    <t>TUE</t>
  </si>
  <si>
    <t>Tuesday</t>
  </si>
  <si>
    <t>WED</t>
  </si>
  <si>
    <t>Wednesday</t>
  </si>
  <si>
    <t>THU</t>
  </si>
  <si>
    <t>Thursday</t>
  </si>
  <si>
    <t>Friday</t>
  </si>
  <si>
    <t>SAT</t>
  </si>
  <si>
    <t>Saturday</t>
  </si>
  <si>
    <t>SUN</t>
  </si>
  <si>
    <t>Sunday</t>
  </si>
  <si>
    <t>Y</t>
  </si>
  <si>
    <t>Yes</t>
  </si>
  <si>
    <t>The activity/observation date is a designated Korean public holiday</t>
  </si>
  <si>
    <t>No</t>
  </si>
  <si>
    <t>The activity/observation date is not a public holiday</t>
  </si>
  <si>
    <t>FT01</t>
  </si>
  <si>
    <t>Presence Level</t>
  </si>
  <si>
    <t>Absolute or normalized level of population activity present in a given time/space</t>
  </si>
  <si>
    <t>Direction and strength of change in recent activity level vs. the prior period</t>
  </si>
  <si>
    <t>FT03</t>
  </si>
  <si>
    <t>Activity Acceleration</t>
  </si>
  <si>
    <t>Whether the speed of activity change is increasing or decelerating</t>
  </si>
  <si>
    <t>FT04</t>
  </si>
  <si>
    <t>Activity Persistence</t>
  </si>
  <si>
    <t>Extent to which a directional change (up/down) is sustained rather than a one-off blip</t>
  </si>
  <si>
    <t>FT05</t>
  </si>
  <si>
    <t>Activity Volatility</t>
  </si>
  <si>
    <t>Stability or irregularity of activity level / rate of change</t>
  </si>
  <si>
    <t>FT06</t>
  </si>
  <si>
    <t>Night Activity Ratio</t>
  </si>
  <si>
    <t>Share of total activity occurring during designated night hours</t>
  </si>
  <si>
    <t>FT07</t>
  </si>
  <si>
    <t>Weekend Activity Ratio</t>
  </si>
  <si>
    <t>Share of total activity occurring on weekends/holidays</t>
  </si>
  <si>
    <t>FT08</t>
  </si>
  <si>
    <t>Activity Breadth</t>
  </si>
  <si>
    <t>Whether an increase/decrease in activity is confined to a few cells or spreads across zones/cells</t>
  </si>
  <si>
    <t>FT09</t>
  </si>
  <si>
    <t>Population Mix</t>
  </si>
  <si>
    <t>Composition of activity by population type / sex / age and its change over time</t>
  </si>
  <si>
    <t>FT10</t>
  </si>
  <si>
    <t>Calendar-Adjusted Activity Level</t>
  </si>
  <si>
    <t>Activity level after removing calendar effects (day-of-week, holiday, seasonal)</t>
  </si>
  <si>
    <t>FT11</t>
  </si>
  <si>
    <t>Control-Adjusted Activity Change</t>
  </si>
  <si>
    <t>Fab-specific activity change, net of general area-level change captured by the control zone</t>
  </si>
  <si>
    <t>FT12</t>
  </si>
  <si>
    <t>Activity Anomaly Score</t>
  </si>
  <si>
    <t>Degree to which observed activity is statistically unusual relative to historical normal patterns</t>
  </si>
  <si>
    <t>D00_10</t>
  </si>
  <si>
    <t>0-10 km</t>
  </si>
  <si>
    <t>Distance band: origin SGG centroid is 0km (inclusive) to under 10km from the fab zone</t>
  </si>
  <si>
    <t>10-30 km</t>
  </si>
  <si>
    <t>Distance band: 10km (inclusive) to under 30km</t>
  </si>
  <si>
    <t>D30_60</t>
  </si>
  <si>
    <t>30-60 km</t>
  </si>
  <si>
    <t>Distance band: 30km (inclusive) to under 60km</t>
  </si>
  <si>
    <t>60-100 km</t>
  </si>
  <si>
    <t>Distance band: 60km (inclusive) to under 100km</t>
  </si>
  <si>
    <t>D100_200</t>
  </si>
  <si>
    <t>100-200 km</t>
  </si>
  <si>
    <t>Distance band: 100km (inclusive) to under 200km</t>
  </si>
  <si>
    <t>D200_PLUS</t>
  </si>
  <si>
    <t>200+ km</t>
  </si>
  <si>
    <t>Distance band: 200km or more</t>
  </si>
  <si>
    <t>Origin distance band could not be determined (e.g., missing or unresolvable origin SGG)</t>
  </si>
  <si>
    <t xml:space="preserve">FT_METRICS_DAILY </t>
  </si>
  <si>
    <t>The core deliverable file - standardized FT01-FT12 metric values calculated per zone, designed to map directly onto the 21 investment indicators.</t>
  </si>
  <si>
    <t>Neither Instant nor Interval;  a computed daily statistic built on top of Presence (and other) inputs</t>
  </si>
  <si>
    <t>date x zone x ft_metrics_code (plus parameters where applicable, e.g. baseline/observation window)</t>
  </si>
  <si>
    <t>Night Activity Rate</t>
  </si>
  <si>
    <t>night_activity_rate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</si>
</sst>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\-mm\-dd\ h:mm:ss"/>
    <numFmt numFmtId="166" formatCode="yyyy\-mm\-dd"/>
  </numFmts>
  <fonts count="18">
    <font>
      <sz val="11.0"/>
      <color theme="1"/>
      <name val="Calibri"/>
      <scheme val="minor"/>
    </font>
    <font>
      <b/>
      <sz val="14.0"/>
      <color rgb="FF000000"/>
      <name val="Roboto"/>
    </font>
    <font>
      <sz val="11.0"/>
      <color theme="1"/>
      <name val="Roboto"/>
    </font>
    <font>
      <b/>
      <sz val="12.0"/>
      <color theme="1"/>
      <name val="Roboto"/>
    </font>
    <font>
      <sz val="12.0"/>
      <color theme="1"/>
      <name val="Roboto"/>
    </font>
    <font/>
    <font>
      <color theme="1"/>
      <name val="Calibri"/>
      <scheme val="minor"/>
    </font>
    <font>
      <sz val="12.0"/>
      <color rgb="FF000000"/>
      <name val="Roboto"/>
    </font>
    <font>
      <b/>
      <sz val="30.0"/>
      <color rgb="FF000000"/>
      <name val="Roboto"/>
    </font>
    <font>
      <b/>
      <sz val="9.0"/>
      <color rgb="FF000000"/>
      <name val="Roboto"/>
    </font>
    <font>
      <b/>
      <sz val="12.0"/>
      <color rgb="FF000000"/>
      <name val="Roboto"/>
    </font>
    <font>
      <sz val="10.0"/>
      <color theme="1"/>
      <name val="Roboto"/>
    </font>
    <font>
      <b/>
      <sz val="10.0"/>
      <color rgb="FF000000"/>
      <name val="Roboto"/>
    </font>
    <font>
      <b/>
      <sz val="8.0"/>
      <color rgb="FF000000"/>
      <name val="Roboto"/>
    </font>
    <font>
      <sz val="11.0"/>
      <color theme="1"/>
      <name val="Calibri"/>
    </font>
    <font>
      <b/>
      <strike/>
      <sz val="12.0"/>
      <color rgb="FF000000"/>
      <name val="Roboto"/>
    </font>
    <font>
      <strike/>
      <sz val="12.0"/>
      <color theme="1"/>
      <name val="Roboto"/>
    </font>
    <font>
      <i/>
      <sz val="12.0"/>
      <color rgb="FF666666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4B400"/>
        <bgColor rgb="FFF4B4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</fills>
  <borders count="2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0"/>
    </xf>
    <xf borderId="4" fillId="2" fontId="3" numFmtId="0" xfId="0" applyAlignment="1" applyBorder="1" applyFill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6" fillId="0" fontId="5" numFmtId="0" xfId="0" applyBorder="1" applyFont="1"/>
    <xf borderId="7" fillId="0" fontId="5" numFmtId="0" xfId="0" applyBorder="1" applyFont="1"/>
    <xf borderId="4" fillId="3" fontId="2" numFmtId="0" xfId="0" applyAlignment="1" applyBorder="1" applyFill="1" applyFont="1">
      <alignment readingOrder="0" shrinkToFit="0" vertical="top" wrapText="1"/>
    </xf>
    <xf borderId="4" fillId="4" fontId="2" numFmtId="0" xfId="0" applyAlignment="1" applyBorder="1" applyFill="1" applyFont="1">
      <alignment readingOrder="0" shrinkToFit="0" vertical="top" wrapText="1"/>
    </xf>
    <xf borderId="4" fillId="4" fontId="6" numFmtId="0" xfId="0" applyAlignment="1" applyBorder="1" applyFill="1" applyFont="1">
      <alignment readingOrder="0" shrinkToFit="0" wrapText="1"/>
    </xf>
    <xf borderId="4" fillId="2" fontId="3" numFmtId="0" xfId="0" applyAlignment="1" applyBorder="1" applyFill="1" applyFont="1">
      <alignment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5" fillId="2" fontId="8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right" shrinkToFit="0" vertical="center" wrapText="0"/>
    </xf>
    <xf borderId="4" fillId="5" fontId="2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horizontal="center" shrinkToFit="0" vertical="center" wrapText="0"/>
    </xf>
    <xf borderId="4" fillId="0" fontId="2" numFmtId="0" xfId="0" applyAlignment="1" applyBorder="1" applyFont="1">
      <alignment readingOrder="0" shrinkToFit="0" vertical="top" wrapText="1"/>
    </xf>
    <xf borderId="4" fillId="2" fontId="10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shrinkToFit="0" vertical="top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8" fillId="2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4" fillId="5" fontId="2" numFmtId="0" xfId="0" applyAlignment="1" applyBorder="1" applyFill="1" applyFont="1">
      <alignment shrinkToFit="0" vertical="top" wrapText="1"/>
    </xf>
    <xf borderId="0" fillId="0" fontId="7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horizontal="center" vertical="top"/>
    </xf>
    <xf borderId="0" fillId="0" fontId="7" numFmtId="0" xfId="0" applyAlignment="1" applyFont="1">
      <alignment horizontal="left" shrinkToFit="0" vertical="center" wrapText="0"/>
    </xf>
    <xf borderId="4" fillId="2" fontId="10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shrinkToFit="0" vertical="bottom" wrapText="0"/>
    </xf>
    <xf borderId="10" fillId="2" fontId="10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readingOrder="0" shrinkToFit="0" vertical="bottom" wrapText="0"/>
    </xf>
    <xf borderId="11" fillId="0" fontId="4" numFmtId="0" xfId="0" applyAlignment="1" applyBorder="1" applyFont="1">
      <alignment shrinkToFit="0" vertical="top" wrapText="1"/>
    </xf>
    <xf borderId="9" fillId="0" fontId="5" numFmtId="0" xfId="0" applyBorder="1" applyFont="1"/>
    <xf borderId="12" fillId="0" fontId="5" numFmtId="0" xfId="0" applyBorder="1" applyFont="1"/>
    <xf borderId="5" fillId="0" fontId="4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wrapText="1"/>
    </xf>
    <xf borderId="4" fillId="2" fontId="3" numFmtId="0" xfId="0" applyAlignment="1" applyBorder="1" applyFill="1" applyFont="1">
      <alignment horizontal="center" readingOrder="0" shrinkToFit="0" wrapText="1"/>
    </xf>
    <xf borderId="0" fillId="0" fontId="13" numFmtId="0" xfId="0" applyAlignment="1" applyFont="1">
      <alignment horizontal="center" shrinkToFit="0" vertical="center" wrapText="1"/>
    </xf>
    <xf borderId="8" fillId="2" fontId="3" numFmtId="0" xfId="0" applyAlignment="1" applyBorder="1" applyFill="1" applyFont="1">
      <alignment horizontal="center" shrinkToFit="0" wrapText="1"/>
    </xf>
    <xf borderId="5" fillId="0" fontId="4" numFmtId="0" xfId="0" applyAlignment="1" applyBorder="1" applyFont="1">
      <alignment shrinkToFit="0" vertical="top" wrapText="1"/>
    </xf>
    <xf borderId="0" fillId="0" fontId="14" numFmtId="0" xfId="0" applyAlignment="1" applyFont="1">
      <alignment vertical="bottom"/>
    </xf>
    <xf borderId="0" fillId="0" fontId="14" numFmtId="0" xfId="0" applyFont="1"/>
    <xf borderId="0" fillId="0" fontId="4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readingOrder="0" vertical="bottom"/>
    </xf>
    <xf borderId="0" fillId="0" fontId="4" numFmtId="2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6" fontId="2" numFmtId="0" xfId="0" applyAlignment="1" applyFill="1" applyFont="1">
      <alignment shrinkToFit="0" vertical="top" wrapText="0"/>
    </xf>
    <xf borderId="8" fillId="6" fontId="10" numFmtId="0" xfId="0" applyAlignment="1" applyBorder="1" applyFill="1" applyFont="1">
      <alignment horizontal="left" shrinkToFit="0" vertical="top" wrapText="1"/>
    </xf>
    <xf borderId="11" fillId="6" fontId="4" numFmtId="0" xfId="0" applyAlignment="1" applyBorder="1" applyFill="1" applyFont="1">
      <alignment shrinkToFit="0" vertical="top" wrapText="1"/>
    </xf>
    <xf borderId="8" fillId="6" fontId="2" numFmtId="0" xfId="0" applyAlignment="1" applyBorder="1" applyFill="1" applyFont="1">
      <alignment shrinkToFit="0" vertical="top" wrapText="1"/>
    </xf>
    <xf borderId="8" fillId="6" fontId="2" numFmtId="0" xfId="0" applyAlignment="1" applyBorder="1" applyFill="1" applyFont="1">
      <alignment readingOrder="0" shrinkToFit="0" vertical="top" wrapText="1"/>
    </xf>
    <xf borderId="0" fillId="0" fontId="4" numFmtId="21" xfId="0" applyAlignment="1" applyFont="1" applyNumberFormat="1">
      <alignment shrinkToFit="0" vertical="bottom" wrapText="0"/>
    </xf>
    <xf borderId="13" fillId="2" fontId="10" numFmtId="0" xfId="0" applyAlignment="1" applyBorder="1" applyFill="1" applyFont="1">
      <alignment horizontal="left" shrinkToFit="0" vertical="top" wrapText="1"/>
    </xf>
    <xf borderId="14" fillId="7" fontId="10" numFmtId="0" xfId="0" applyAlignment="1" applyBorder="1" applyFill="1" applyFont="1">
      <alignment readingOrder="0" shrinkToFit="0" vertical="top" wrapText="0"/>
    </xf>
    <xf borderId="15" fillId="7" fontId="10" numFmtId="0" xfId="0" applyAlignment="1" applyBorder="1" applyFill="1" applyFont="1">
      <alignment horizontal="left" readingOrder="0" shrinkToFit="0" vertical="top" wrapText="1"/>
    </xf>
    <xf borderId="16" fillId="0" fontId="5" numFmtId="0" xfId="0" applyBorder="1" applyFont="1"/>
    <xf borderId="17" fillId="0" fontId="5" numFmtId="0" xfId="0" applyBorder="1" applyFont="1"/>
    <xf borderId="18" fillId="5" fontId="2" numFmtId="0" xfId="0" applyAlignment="1" applyBorder="1" applyFill="1" applyFont="1">
      <alignment readingOrder="0"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19" fillId="0" fontId="2" numFmtId="0" xfId="0" applyAlignment="1" applyBorder="1" applyFont="1">
      <alignment shrinkToFit="0" vertical="top" wrapText="1"/>
    </xf>
    <xf borderId="20" fillId="2" fontId="4" numFmtId="0" xfId="0" applyAlignment="1" applyBorder="1" applyFill="1" applyFont="1">
      <alignment shrinkToFit="0" vertical="top" wrapText="0"/>
    </xf>
    <xf borderId="3" fillId="7" fontId="10" numFmtId="0" xfId="0" applyAlignment="1" applyBorder="1" applyFill="1" applyFont="1">
      <alignment shrinkToFit="0" vertical="top" wrapText="0"/>
    </xf>
    <xf borderId="5" fillId="7" fontId="4" numFmtId="0" xfId="0" applyAlignment="1" applyBorder="1" applyFill="1" applyFont="1">
      <alignment shrinkToFit="0" vertical="top" wrapText="1"/>
    </xf>
    <xf borderId="18" fillId="0" fontId="5" numFmtId="0" xfId="0" applyBorder="1" applyFont="1"/>
    <xf borderId="5" fillId="7" fontId="4" numFmtId="0" xfId="0" applyAlignment="1" applyBorder="1" applyFill="1" applyFont="1">
      <alignment readingOrder="0" shrinkToFit="0" vertical="top" wrapText="1"/>
    </xf>
    <xf borderId="20" fillId="2" fontId="10" numFmtId="0" xfId="0" applyAlignment="1" applyBorder="1" applyFill="1" applyFont="1">
      <alignment horizontal="left" shrinkToFit="0" vertical="top" wrapText="1"/>
    </xf>
    <xf borderId="21" fillId="7" fontId="15" numFmtId="0" xfId="0" applyAlignment="1" applyBorder="1" applyFill="1" applyFont="1">
      <alignment shrinkToFit="0" vertical="top" wrapText="0"/>
    </xf>
    <xf borderId="11" fillId="7" fontId="16" numFmtId="0" xfId="0" applyAlignment="1" applyBorder="1" applyFill="1" applyFont="1">
      <alignment shrinkToFit="0" vertical="top" wrapText="1"/>
    </xf>
    <xf borderId="22" fillId="2" fontId="10" numFmtId="0" xfId="0" applyAlignment="1" applyBorder="1" applyFill="1" applyFont="1">
      <alignment horizontal="left" shrinkToFit="0" vertical="top" wrapText="1"/>
    </xf>
    <xf borderId="1" fillId="7" fontId="10" numFmtId="0" xfId="0" applyAlignment="1" applyBorder="1" applyFill="1" applyFont="1">
      <alignment shrinkToFit="0" vertical="top" wrapText="0"/>
    </xf>
    <xf borderId="19" fillId="0" fontId="5" numFmtId="0" xfId="0" applyBorder="1" applyFont="1"/>
    <xf borderId="0" fillId="8" fontId="2" numFmtId="0" xfId="0" applyAlignment="1" applyFill="1" applyFont="1">
      <alignment shrinkToFit="0" vertical="top" wrapText="0"/>
    </xf>
    <xf borderId="23" fillId="8" fontId="10" numFmtId="0" xfId="0" applyAlignment="1" applyBorder="1" applyFill="1" applyFont="1">
      <alignment horizontal="left" shrinkToFit="0" vertical="top" wrapText="1"/>
    </xf>
    <xf borderId="24" fillId="0" fontId="5" numFmtId="0" xfId="0" applyBorder="1" applyFont="1"/>
    <xf borderId="16" fillId="8" fontId="7" numFmtId="0" xfId="0" applyAlignment="1" applyBorder="1" applyFill="1" applyFont="1">
      <alignment horizontal="left" shrinkToFit="0" vertical="top" wrapText="1"/>
    </xf>
    <xf borderId="4" fillId="8" fontId="2" numFmtId="0" xfId="0" applyAlignment="1" applyBorder="1" applyFill="1" applyFont="1">
      <alignment shrinkToFit="0" vertical="top" wrapText="1"/>
    </xf>
    <xf borderId="4" fillId="8" fontId="2" numFmtId="0" xfId="0" applyAlignment="1" applyBorder="1" applyFill="1" applyFont="1">
      <alignment readingOrder="0" shrinkToFit="0" vertical="top" wrapText="1"/>
    </xf>
    <xf borderId="1" fillId="6" fontId="10" numFmtId="0" xfId="0" applyAlignment="1" applyBorder="1" applyFill="1" applyFont="1">
      <alignment horizontal="left" shrinkToFit="0" vertical="top" wrapText="1"/>
    </xf>
    <xf borderId="3" fillId="6" fontId="10" numFmtId="0" xfId="0" applyAlignment="1" applyBorder="1" applyFill="1" applyFont="1">
      <alignment horizontal="left" shrinkToFit="0" vertical="top" wrapText="0"/>
    </xf>
    <xf borderId="9" fillId="6" fontId="10" numFmtId="0" xfId="0" applyAlignment="1" applyBorder="1" applyFill="1" applyFont="1">
      <alignment horizontal="left" readingOrder="0" shrinkToFit="0" vertical="top" wrapText="1"/>
    </xf>
    <xf borderId="4" fillId="6" fontId="2" numFmtId="0" xfId="0" applyAlignment="1" applyBorder="1" applyFill="1" applyFont="1">
      <alignment shrinkToFit="0" vertical="top" wrapText="1"/>
    </xf>
    <xf borderId="4" fillId="6" fontId="2" numFmtId="0" xfId="0" applyAlignment="1" applyBorder="1" applyFill="1" applyFont="1">
      <alignment readingOrder="0" shrinkToFit="0" vertical="top" wrapText="1"/>
    </xf>
    <xf borderId="20" fillId="2" fontId="10" numFmtId="0" xfId="0" applyAlignment="1" applyBorder="1" applyFill="1" applyFont="1">
      <alignment horizontal="left" shrinkToFit="0" vertical="top" wrapText="0"/>
    </xf>
    <xf borderId="25" fillId="2" fontId="10" numFmtId="0" xfId="0" applyAlignment="1" applyBorder="1" applyFill="1" applyFont="1">
      <alignment shrinkToFit="0" vertical="top" wrapText="0"/>
    </xf>
    <xf borderId="11" fillId="0" fontId="7" numFmtId="0" xfId="0" applyAlignment="1" applyBorder="1" applyFont="1">
      <alignment shrinkToFit="0" vertical="top" wrapText="1"/>
    </xf>
    <xf borderId="1" fillId="2" fontId="10" numFmtId="0" xfId="0" applyAlignment="1" applyBorder="1" applyFill="1" applyFont="1">
      <alignment shrinkToFit="0" vertical="top" wrapText="0"/>
    </xf>
    <xf borderId="5" fillId="9" fontId="2" numFmtId="0" xfId="0" applyAlignment="1" applyBorder="1" applyFill="1" applyFont="1">
      <alignment readingOrder="0" shrinkToFit="0" vertical="top" wrapText="1"/>
    </xf>
    <xf borderId="26" fillId="2" fontId="4" numFmtId="0" xfId="0" applyAlignment="1" applyBorder="1" applyFill="1" applyFont="1">
      <alignment shrinkToFit="0" vertical="top" wrapText="0"/>
    </xf>
    <xf borderId="5" fillId="0" fontId="7" numFmtId="0" xfId="0" applyAlignment="1" applyBorder="1" applyFont="1">
      <alignment shrinkToFit="0" vertical="top" wrapText="1"/>
    </xf>
    <xf borderId="5" fillId="2" fontId="10" numFmtId="0" xfId="0" applyAlignment="1" applyBorder="1" applyFill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4" fillId="5" fontId="2" numFmtId="0" xfId="0" applyAlignment="1" applyBorder="1" applyFill="1" applyFont="1">
      <alignment shrinkToFit="0" vertical="top" wrapText="0"/>
    </xf>
    <xf borderId="4" fillId="5" fontId="2" numFmtId="0" xfId="0" applyAlignment="1" applyBorder="1" applyFill="1" applyFont="1">
      <alignment readingOrder="0" shrinkToFit="0" vertical="top" wrapText="0"/>
    </xf>
    <xf borderId="4" fillId="2" fontId="10" numFmtId="0" xfId="0" applyAlignment="1" applyBorder="1" applyFill="1" applyFont="1">
      <alignment horizontal="center" shrinkToFit="0" vertical="top" wrapText="1"/>
    </xf>
    <xf borderId="4" fillId="5" fontId="10" numFmtId="0" xfId="0" applyAlignment="1" applyBorder="1" applyFill="1" applyFont="1">
      <alignment horizontal="center" readingOrder="0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4" fillId="6" fontId="7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readingOrder="0" shrinkToFit="0" wrapText="1"/>
    </xf>
    <xf borderId="4" fillId="9" fontId="7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0"/>
    </xf>
    <xf borderId="4" fillId="5" fontId="2" numFmtId="0" xfId="0" applyAlignment="1" applyBorder="1" applyFill="1" applyFont="1">
      <alignment shrinkToFit="0" vertical="top" wrapText="1"/>
    </xf>
    <xf borderId="4" fillId="2" fontId="10" numFmtId="0" xfId="0" applyAlignment="1" applyBorder="1" applyFill="1" applyFont="1">
      <alignment horizontal="center" shrinkToFit="0" vertical="top" wrapText="0"/>
    </xf>
    <xf borderId="4" fillId="2" fontId="7" numFmtId="0" xfId="0" applyAlignment="1" applyBorder="1" applyFill="1" applyFont="1">
      <alignment horizontal="center" shrinkToFit="0" vertical="top" wrapText="0"/>
    </xf>
    <xf borderId="5" fillId="0" fontId="7" numFmtId="0" xfId="0" applyAlignment="1" applyBorder="1" applyFont="1">
      <alignment shrinkToFit="0" vertical="top" wrapText="0"/>
    </xf>
    <xf borderId="6" fillId="0" fontId="2" numFmtId="0" xfId="0" applyAlignment="1" applyBorder="1" applyFont="1">
      <alignment shrinkToFit="0" vertical="top" wrapText="0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0"/>
    </xf>
    <xf borderId="4" fillId="2" fontId="10" numFmtId="0" xfId="0" applyAlignment="1" applyBorder="1" applyFill="1" applyFont="1">
      <alignment horizontal="center" readingOrder="0" shrinkToFit="0" vertical="top" wrapText="0"/>
    </xf>
    <xf borderId="10" fillId="2" fontId="10" numFmtId="0" xfId="0" applyAlignment="1" applyBorder="1" applyFill="1" applyFont="1">
      <alignment horizontal="left" shrinkToFit="0" vertical="top" wrapText="0"/>
    </xf>
    <xf borderId="4" fillId="0" fontId="7" numFmtId="0" xfId="0" applyAlignment="1" applyBorder="1" applyFont="1">
      <alignment horizontal="left" readingOrder="0" shrinkToFit="0" vertical="top" wrapText="1"/>
    </xf>
    <xf borderId="20" fillId="2" fontId="7" numFmtId="0" xfId="0" applyAlignment="1" applyBorder="1" applyFill="1" applyFont="1">
      <alignment horizontal="left" shrinkToFit="0" vertical="top" wrapText="0"/>
    </xf>
    <xf borderId="0" fillId="0" fontId="4" numFmtId="0" xfId="0" applyAlignment="1" applyFont="1">
      <alignment readingOrder="0"/>
    </xf>
    <xf borderId="4" fillId="0" fontId="7" numFmtId="164" xfId="0" applyAlignment="1" applyBorder="1" applyFont="1" applyNumberFormat="1">
      <alignment horizontal="left" readingOrder="0" shrinkToFit="0" vertical="top" wrapText="1"/>
    </xf>
    <xf borderId="13" fillId="2" fontId="7" numFmtId="0" xfId="0" applyAlignment="1" applyBorder="1" applyFill="1" applyFont="1">
      <alignment horizontal="left" shrinkToFit="0" vertical="top" wrapText="0"/>
    </xf>
    <xf borderId="8" fillId="5" fontId="2" numFmtId="0" xfId="0" applyAlignment="1" applyBorder="1" applyFill="1" applyFont="1">
      <alignment readingOrder="0" shrinkToFit="0" vertical="top" wrapText="1"/>
    </xf>
    <xf borderId="26" fillId="2" fontId="7" numFmtId="0" xfId="0" applyAlignment="1" applyBorder="1" applyFill="1" applyFont="1">
      <alignment horizontal="left" shrinkToFit="0" vertical="top" wrapText="0"/>
    </xf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8" fillId="2" fontId="3" numFmtId="0" xfId="0" applyAlignment="1" applyBorder="1" applyFill="1" applyFont="1">
      <alignment horizontal="center" shrinkToFit="0" vertical="top" wrapText="0"/>
    </xf>
    <xf borderId="4" fillId="2" fontId="3" numFmtId="0" xfId="0" applyAlignment="1" applyBorder="1" applyFill="1" applyFont="1">
      <alignment horizontal="center" shrinkToFit="0" vertical="top" wrapText="0"/>
    </xf>
    <xf borderId="0" fillId="0" fontId="6" numFmtId="0" xfId="0" applyAlignment="1" applyFont="1">
      <alignment shrinkToFit="0" wrapText="1"/>
    </xf>
    <xf borderId="8" fillId="0" fontId="7" numFmtId="0" xfId="0" applyAlignment="1" applyBorder="1" applyFont="1">
      <alignment horizontal="left" shrinkToFit="0" vertical="top" wrapText="0"/>
    </xf>
    <xf borderId="7" fillId="0" fontId="7" numFmtId="0" xfId="0" applyAlignment="1" applyBorder="1" applyFont="1">
      <alignment horizontal="left" shrinkToFit="0" vertical="top" wrapText="0"/>
    </xf>
    <xf borderId="4" fillId="0" fontId="7" numFmtId="0" xfId="0" applyAlignment="1" applyBorder="1" applyFont="1">
      <alignment horizontal="left" shrinkToFit="0" vertical="top" wrapText="0"/>
    </xf>
    <xf borderId="5" fillId="0" fontId="7" numFmtId="0" xfId="0" applyAlignment="1" applyBorder="1" applyFont="1">
      <alignment horizontal="left" shrinkToFit="0" vertical="top" wrapText="1"/>
    </xf>
    <xf borderId="18" fillId="0" fontId="7" numFmtId="0" xfId="0" applyAlignment="1" applyBorder="1" applyFont="1">
      <alignment horizontal="left" shrinkToFit="0" vertical="top" wrapText="0"/>
    </xf>
    <xf borderId="7" fillId="0" fontId="7" numFmtId="0" xfId="0" applyAlignment="1" applyBorder="1" applyFont="1">
      <alignment horizontal="left" readingOrder="0" shrinkToFit="0" vertical="top" wrapText="0"/>
    </xf>
    <xf borderId="5" fillId="0" fontId="7" numFmtId="0" xfId="0" applyAlignment="1" applyBorder="1" applyFont="1">
      <alignment horizontal="left" readingOrder="0" shrinkToFit="0" vertical="top" wrapText="1"/>
    </xf>
    <xf borderId="19" fillId="0" fontId="7" numFmtId="0" xfId="0" applyAlignment="1" applyBorder="1" applyFont="1">
      <alignment horizontal="left" shrinkToFit="0" vertical="top" wrapText="0"/>
    </xf>
    <xf borderId="8" fillId="0" fontId="4" numFmtId="0" xfId="0" applyAlignment="1" applyBorder="1" applyFont="1">
      <alignment vertical="top"/>
    </xf>
    <xf borderId="7" fillId="0" fontId="4" numFmtId="0" xfId="0" applyAlignment="1" applyBorder="1" applyFont="1">
      <alignment vertical="top"/>
    </xf>
    <xf borderId="4" fillId="0" fontId="4" numFmtId="0" xfId="0" applyAlignment="1" applyBorder="1" applyFont="1">
      <alignment vertical="top"/>
    </xf>
    <xf borderId="5" fillId="0" fontId="4" numFmtId="0" xfId="0" applyAlignment="1" applyBorder="1" applyFont="1">
      <alignment vertical="top"/>
    </xf>
    <xf borderId="18" fillId="0" fontId="14" numFmtId="0" xfId="0" applyAlignment="1" applyBorder="1" applyFont="1">
      <alignment vertical="top"/>
    </xf>
    <xf borderId="7" fillId="0" fontId="16" numFmtId="0" xfId="0" applyAlignment="1" applyBorder="1" applyFont="1">
      <alignment vertical="top"/>
    </xf>
    <xf borderId="4" fillId="0" fontId="16" numFmtId="0" xfId="0" applyAlignment="1" applyBorder="1" applyFont="1">
      <alignment vertical="top"/>
    </xf>
    <xf borderId="5" fillId="0" fontId="16" numFmtId="0" xfId="0" applyAlignment="1" applyBorder="1" applyFont="1">
      <alignment vertical="top"/>
    </xf>
    <xf borderId="0" fillId="0" fontId="2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4" fillId="5" fontId="2" numFmtId="0" xfId="0" applyAlignment="1" applyBorder="1" applyFill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5" fontId="6" numFmtId="0" xfId="0" applyAlignment="1" applyBorder="1" applyFill="1" applyFont="1">
      <alignment shrinkToFit="0" wrapText="1"/>
    </xf>
    <xf borderId="4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gesh KC" id="{98a05908-0a06-44a9-9800-9b1e5018aee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1" dT="2026-09-28T05:46:52.00" personId="{98a05908-0a06-44a9-9800-9b1e5018aee4}" id="{2fa5e39f-4a84-4863-baee-c562fe31a057}" done="1">
    <x18tc:text xml:space="preserve">Are all of this data is derived from the activity_at</x18tc:text>
  </x18tc:threadedComment>
  <x18tc:threadedComment ref="H71" dT="2026-10-06T01:41:41.00" personId="{98a05908-0a06-44a9-9800-9b1e5018aee4}" id="{ee9a586b-6ea1-49ea-bf3d-a14933eb69bc}" parentId="{2fa5e39f-4a84-4863-baee-c562fe31a057}">
    <x18tc:text xml:space="preserve">No, it's received from the owner</x18tc:text>
  </x18tc:threadedComment>
  <x18tc:threadedComment ref="H75" dT="2026-09-28T05:47:44.00" personId="{98a05908-0a06-44a9-9800-9b1e5018aee4}" id="{38bb68a9-01ef-4e0a-a35e-0a24d86ff016}" done="0">
    <x18tc:text xml:space="preserve">- How zone code are assigned ?</x18tc:text>
  </x18tc:threadedComment>
  <x18tc:threadedComment ref="D18" dT="2026-09-28T04:53:47.00" personId="{98a05908-0a06-44a9-9800-9b1e5018aee4}" id="{5e10a256-4e93-47e1-89dc-48b8f242cd16}" done="0">
    <x18tc:text xml:space="preserve">How to distinguish whether it's fronting fab or packaging test?</x18tc:text>
  </x18tc:threadedComment>
  <x18tc:threadedComment ref="D22" dT="2026-09-28T05:20:46.00" personId="{98a05908-0a06-44a9-9800-9b1e5018aee4}" id="{8118d1e0-4ae5-47a3-a846-7209787d35fc}" done="0">
    <x18tc:text xml:space="preserve">What is simulation date</x18tc:text>
  </x18tc:threadedComment>
  <x18tc:threadedComment ref="H20" dT="2026-09-28T06:03:03.00" personId="{98a05908-0a06-44a9-9800-9b1e5018aee4}" id="{0eafdb2f-e1d8-413d-80d0-ebdfe1f81793}" done="0">
    <x18tc:text xml:space="preserve">- Does one fab has multiple zones or a singe zone</x18tc:text>
  </x18tc:threadedComment>
  <x18tc:threadedComment ref="H76" dT="2026-09-28T06:05:34.00" personId="{98a05908-0a06-44a9-9800-9b1e5018aee4}" id="{a18d396e-66fe-4ac2-b61b-c6b4c9cc5ae3}" done="0">
    <x18tc:text xml:space="preserve">- What does each category mean
- Why do we need to create a population type
- How do we categories a population type</x18tc:text>
  </x18tc:threadedComment>
  <x18tc:threadedComment ref="C121" dT="2026-09-29T08:07:48.00" personId="{98a05908-0a06-44a9-9800-9b1e5018aee4}" id="{f6c6c7d2-c9b8-44be-a619-579cc3c38dd2}" done="0">
    <x18tc:text xml:space="preserve">Code or accepted values</x18tc:text>
  </x18tc:threadedComment>
  <x18tc:threadedComment ref="C13" dT="2026-09-29T06:40:14.00" personId="{98a05908-0a06-44a9-9800-9b1e5018aee4}" id="{78e074c6-a54b-4117-b765-22ad04ac4c0b}" done="0">
    <x18tc:text xml:space="preserve">What do we want to inform with this data</x18tc:text>
  </x18tc:threadedComment>
  <x18tc:threadedComment ref="C36" dT="2026-09-29T07:45:01.00" personId="{98a05908-0a06-44a9-9800-9b1e5018aee4}" id="{1197f233-b3d2-4c8f-ac1e-7f38fa4fa17f}" done="0">
    <x18tc:text xml:space="preserve">Can we call this data instant when it's actually an hourly aggrigate</x18tc:text>
  </x18tc:threadedComment>
  <x18tc:threadedComment ref="C35" dT="2026-09-29T08:36:44.00" personId="{98a05908-0a06-44a9-9800-9b1e5018aee4}" id="{227bf41c-40e1-459a-b4fd-261693153f01}" done="0">
    <x18tc:text xml:space="preserve">Can we say zone-master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4" width="43.0"/>
    <col customWidth="1" min="5" max="5" width="25.86"/>
    <col customWidth="1" min="6" max="6" width="60.14"/>
    <col customWidth="1" min="7" max="7" width="26.71"/>
    <col customWidth="1" min="8" max="8" width="47.43"/>
    <col customWidth="1" min="9" max="9" width="39.86"/>
    <col customWidth="1" min="10" max="10" width="50.43"/>
    <col customWidth="1" min="11" max="11" width="77.14"/>
    <col customWidth="1" min="12" max="27" width="8.71"/>
  </cols>
  <sheetData>
    <row r="1" ht="31.5" customHeight="1">
      <c r="A1" s="5"/>
      <c r="B1" s="5"/>
      <c r="C1" s="5"/>
      <c r="D1" s="5"/>
      <c r="E1" s="5"/>
      <c r="F1" s="7"/>
      <c r="G1" s="5"/>
      <c r="H1" s="11" t="s">
        <v>3</v>
      </c>
      <c r="I1" s="12" t="s">
        <v>7</v>
      </c>
      <c r="J1" s="13" t="s">
        <v>8</v>
      </c>
      <c r="K1" s="13" t="s">
        <v>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"/>
      <c r="B2" s="16" t="s">
        <v>12</v>
      </c>
      <c r="C2" s="9"/>
      <c r="D2" s="10"/>
      <c r="E2" s="18" t="s">
        <v>14</v>
      </c>
      <c r="F2" s="7"/>
      <c r="G2" s="19"/>
      <c r="H2" s="20" t="s">
        <v>17</v>
      </c>
      <c r="I2" s="22" t="s">
        <v>18</v>
      </c>
      <c r="J2" s="24"/>
      <c r="K2" s="2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7"/>
      <c r="G3" s="5"/>
      <c r="H3" s="28"/>
      <c r="I3" s="24"/>
      <c r="J3" s="24"/>
      <c r="K3" s="2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30" t="s">
        <v>39</v>
      </c>
      <c r="C4" s="5"/>
      <c r="D4" s="5"/>
      <c r="E4" s="5"/>
      <c r="F4" s="7"/>
      <c r="G4" s="5"/>
      <c r="H4" s="28"/>
      <c r="I4" s="24"/>
      <c r="J4" s="24"/>
      <c r="K4" s="2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36" t="s">
        <v>47</v>
      </c>
      <c r="C5" s="8" t="s">
        <v>49</v>
      </c>
      <c r="D5" s="9"/>
      <c r="E5" s="9"/>
      <c r="F5" s="9"/>
      <c r="G5" s="10"/>
      <c r="H5" s="20" t="s">
        <v>53</v>
      </c>
      <c r="I5" s="24"/>
      <c r="J5" s="24"/>
      <c r="K5" s="2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39" t="s">
        <v>57</v>
      </c>
      <c r="C6" s="41" t="s">
        <v>60</v>
      </c>
      <c r="D6" s="42"/>
      <c r="E6" s="42"/>
      <c r="F6" s="42"/>
      <c r="G6" s="43"/>
      <c r="H6" s="20" t="s">
        <v>53</v>
      </c>
      <c r="I6" s="24"/>
      <c r="J6" s="24"/>
      <c r="K6" s="2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36" t="s">
        <v>69</v>
      </c>
      <c r="C7" s="44" t="s">
        <v>73</v>
      </c>
      <c r="D7" s="9"/>
      <c r="E7" s="9"/>
      <c r="F7" s="9"/>
      <c r="G7" s="10"/>
      <c r="H7" s="20" t="s">
        <v>76</v>
      </c>
      <c r="I7" s="22" t="s">
        <v>77</v>
      </c>
      <c r="J7" s="24"/>
      <c r="K7" s="2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36" t="s">
        <v>78</v>
      </c>
      <c r="C8" s="8" t="s">
        <v>79</v>
      </c>
      <c r="D8" s="9"/>
      <c r="E8" s="9"/>
      <c r="F8" s="9"/>
      <c r="G8" s="10"/>
      <c r="H8" s="28"/>
      <c r="I8" s="24"/>
      <c r="J8" s="24"/>
      <c r="K8" s="2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36" t="s">
        <v>83</v>
      </c>
      <c r="C9" s="50" t="s">
        <v>84</v>
      </c>
      <c r="D9" s="9"/>
      <c r="E9" s="9"/>
      <c r="F9" s="9"/>
      <c r="G9" s="10"/>
      <c r="I9" s="22" t="s">
        <v>86</v>
      </c>
      <c r="J9" s="24"/>
      <c r="K9" s="2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39" t="s">
        <v>88</v>
      </c>
      <c r="C10" s="57" t="s">
        <v>90</v>
      </c>
      <c r="D10" s="42"/>
      <c r="E10" s="42"/>
      <c r="F10" s="42"/>
      <c r="G10" s="43"/>
      <c r="H10" s="20" t="s">
        <v>96</v>
      </c>
      <c r="I10" s="22" t="s">
        <v>98</v>
      </c>
      <c r="J10" s="24"/>
      <c r="K10" s="2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39" t="s">
        <v>100</v>
      </c>
      <c r="C11" s="41" t="s">
        <v>102</v>
      </c>
      <c r="D11" s="42"/>
      <c r="E11" s="42"/>
      <c r="F11" s="42"/>
      <c r="G11" s="43"/>
      <c r="H11" s="28"/>
      <c r="I11" s="24"/>
      <c r="J11" s="24"/>
      <c r="K11" s="2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36" t="s">
        <v>107</v>
      </c>
      <c r="C12" s="8" t="s">
        <v>108</v>
      </c>
      <c r="D12" s="9"/>
      <c r="E12" s="9"/>
      <c r="F12" s="9"/>
      <c r="G12" s="10"/>
      <c r="H12" s="28"/>
      <c r="I12" s="24"/>
      <c r="J12" s="24"/>
      <c r="K12" s="2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4"/>
      <c r="B13" s="65" t="s">
        <v>113</v>
      </c>
      <c r="C13" s="66" t="s">
        <v>114</v>
      </c>
      <c r="D13" s="42"/>
      <c r="E13" s="42"/>
      <c r="F13" s="42"/>
      <c r="G13" s="43"/>
      <c r="H13" s="67"/>
      <c r="I13" s="68" t="s">
        <v>117</v>
      </c>
      <c r="J13" s="67"/>
      <c r="K13" s="67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5"/>
      <c r="B14" s="5"/>
      <c r="C14" s="5"/>
      <c r="D14" s="5"/>
      <c r="E14" s="5"/>
      <c r="F14" s="7"/>
      <c r="G14" s="5"/>
      <c r="H14" s="7"/>
      <c r="I14" s="7"/>
      <c r="J14" s="7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30" t="s">
        <v>118</v>
      </c>
      <c r="C15" s="5"/>
      <c r="D15" s="5"/>
      <c r="E15" s="5"/>
      <c r="F15" s="7"/>
      <c r="G15" s="5"/>
      <c r="H15" s="7"/>
      <c r="I15" s="7"/>
      <c r="J15" s="7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70" t="s">
        <v>119</v>
      </c>
      <c r="C16" s="71" t="s">
        <v>120</v>
      </c>
      <c r="D16" s="72" t="s">
        <v>121</v>
      </c>
      <c r="E16" s="73"/>
      <c r="F16" s="73"/>
      <c r="G16" s="74"/>
      <c r="H16" s="75" t="s">
        <v>122</v>
      </c>
      <c r="I16" s="76" t="s">
        <v>123</v>
      </c>
      <c r="J16" s="77"/>
      <c r="K16" s="7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78"/>
      <c r="C17" s="79" t="s">
        <v>124</v>
      </c>
      <c r="D17" s="80" t="s">
        <v>125</v>
      </c>
      <c r="E17" s="9"/>
      <c r="F17" s="9"/>
      <c r="G17" s="10"/>
      <c r="H17" s="81"/>
      <c r="I17" s="81"/>
      <c r="J17" s="24"/>
      <c r="K17" s="2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78"/>
      <c r="C18" s="79" t="s">
        <v>126</v>
      </c>
      <c r="D18" s="82" t="s">
        <v>127</v>
      </c>
      <c r="E18" s="9"/>
      <c r="F18" s="9"/>
      <c r="G18" s="10"/>
      <c r="H18" s="81"/>
      <c r="I18" s="81"/>
      <c r="J18" s="24"/>
      <c r="K18" s="2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83"/>
      <c r="C19" s="84" t="s">
        <v>128</v>
      </c>
      <c r="D19" s="85" t="s">
        <v>129</v>
      </c>
      <c r="E19" s="42"/>
      <c r="F19" s="42"/>
      <c r="G19" s="43"/>
      <c r="H19" s="81"/>
      <c r="I19" s="81"/>
      <c r="J19" s="24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86"/>
      <c r="C20" s="87" t="s">
        <v>130</v>
      </c>
      <c r="D20" s="80" t="s">
        <v>131</v>
      </c>
      <c r="E20" s="9"/>
      <c r="F20" s="9"/>
      <c r="G20" s="10"/>
      <c r="H20" s="88"/>
      <c r="I20" s="88"/>
      <c r="J20" s="24"/>
      <c r="K20" s="2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89"/>
      <c r="B21" s="90" t="s">
        <v>132</v>
      </c>
      <c r="C21" s="91"/>
      <c r="D21" s="92" t="s">
        <v>133</v>
      </c>
      <c r="E21" s="73"/>
      <c r="F21" s="73"/>
      <c r="G21" s="74"/>
      <c r="H21" s="93"/>
      <c r="I21" s="94" t="s">
        <v>134</v>
      </c>
      <c r="J21" s="93"/>
      <c r="K21" s="93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</row>
    <row r="22">
      <c r="A22" s="64"/>
      <c r="B22" s="95" t="s">
        <v>135</v>
      </c>
      <c r="C22" s="96"/>
      <c r="D22" s="97" t="s">
        <v>136</v>
      </c>
      <c r="E22" s="42"/>
      <c r="F22" s="42"/>
      <c r="G22" s="43"/>
      <c r="H22" s="98"/>
      <c r="I22" s="99" t="s">
        <v>137</v>
      </c>
      <c r="J22" s="98"/>
      <c r="K22" s="98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5"/>
      <c r="B23" s="100" t="s">
        <v>138</v>
      </c>
      <c r="C23" s="101" t="s">
        <v>139</v>
      </c>
      <c r="D23" s="102" t="s">
        <v>140</v>
      </c>
      <c r="E23" s="42"/>
      <c r="F23" s="42"/>
      <c r="G23" s="43"/>
      <c r="H23" s="28"/>
      <c r="I23" s="22" t="s">
        <v>53</v>
      </c>
      <c r="J23" s="24"/>
      <c r="K23" s="2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78"/>
      <c r="C24" s="103" t="s">
        <v>141</v>
      </c>
      <c r="D24" s="104" t="s">
        <v>142</v>
      </c>
      <c r="E24" s="9"/>
      <c r="F24" s="9"/>
      <c r="G24" s="10"/>
      <c r="H24" s="28"/>
      <c r="I24" s="22" t="s">
        <v>143</v>
      </c>
      <c r="J24" s="24"/>
      <c r="K24" s="2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105"/>
      <c r="C25" s="103" t="s">
        <v>144</v>
      </c>
      <c r="D25" s="106" t="s">
        <v>145</v>
      </c>
      <c r="E25" s="9"/>
      <c r="F25" s="9"/>
      <c r="G25" s="10"/>
      <c r="H25" s="20" t="s">
        <v>146</v>
      </c>
      <c r="I25" s="22" t="s">
        <v>147</v>
      </c>
      <c r="J25" s="24"/>
      <c r="K25" s="2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107" t="s">
        <v>148</v>
      </c>
      <c r="C26" s="10"/>
      <c r="D26" s="108" t="s">
        <v>149</v>
      </c>
      <c r="E26" s="9"/>
      <c r="F26" s="9"/>
      <c r="G26" s="10"/>
      <c r="H26" s="28"/>
      <c r="I26" s="24"/>
      <c r="J26" s="24"/>
      <c r="K26" s="2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7"/>
      <c r="G27" s="5"/>
      <c r="H27" s="28"/>
      <c r="I27" s="24"/>
      <c r="J27" s="24"/>
      <c r="K27" s="2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7"/>
      <c r="G28" s="5"/>
      <c r="H28" s="28"/>
      <c r="I28" s="24"/>
      <c r="J28" s="24"/>
      <c r="K28" s="2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7"/>
      <c r="G29" s="5"/>
      <c r="H29" s="28"/>
      <c r="I29" s="24"/>
      <c r="J29" s="24"/>
      <c r="K29" s="2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7"/>
      <c r="G30" s="5"/>
      <c r="H30" s="28"/>
      <c r="I30" s="24"/>
      <c r="J30" s="24"/>
      <c r="K30" s="2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7"/>
      <c r="G31" s="5"/>
      <c r="H31" s="28"/>
      <c r="I31" s="24"/>
      <c r="J31" s="24"/>
      <c r="K31" s="2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7"/>
      <c r="G32" s="5"/>
      <c r="H32" s="28"/>
      <c r="I32" s="24"/>
      <c r="J32" s="24"/>
      <c r="K32" s="2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30" t="s">
        <v>150</v>
      </c>
      <c r="C33" s="109"/>
      <c r="D33" s="110" t="s">
        <v>151</v>
      </c>
      <c r="E33" s="109"/>
      <c r="F33" s="7"/>
      <c r="G33" s="5"/>
      <c r="H33" s="28"/>
      <c r="I33" s="24"/>
      <c r="J33" s="24"/>
      <c r="K33" s="2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111" t="s">
        <v>152</v>
      </c>
      <c r="C34" s="111" t="s">
        <v>153</v>
      </c>
      <c r="D34" s="111" t="s">
        <v>154</v>
      </c>
      <c r="E34" s="111" t="s">
        <v>155</v>
      </c>
      <c r="F34" s="112" t="s">
        <v>156</v>
      </c>
      <c r="G34" s="5"/>
      <c r="H34" s="28"/>
      <c r="I34" s="24"/>
      <c r="J34" s="24"/>
      <c r="K34" s="2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  <c r="AA34" s="4"/>
    </row>
    <row r="35">
      <c r="A35" s="5"/>
      <c r="B35" s="113" t="s">
        <v>0</v>
      </c>
      <c r="C35" s="15" t="s">
        <v>157</v>
      </c>
      <c r="D35" s="15" t="s">
        <v>158</v>
      </c>
      <c r="E35" s="15" t="s">
        <v>159</v>
      </c>
      <c r="F35" s="20" t="s">
        <v>160</v>
      </c>
      <c r="G35" s="5"/>
      <c r="H35" s="28"/>
      <c r="I35" s="24"/>
      <c r="J35" s="24"/>
      <c r="K35" s="2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  <c r="AA35" s="4"/>
    </row>
    <row r="36">
      <c r="A36" s="5"/>
      <c r="B36" s="113" t="s">
        <v>4</v>
      </c>
      <c r="C36" s="114" t="s">
        <v>161</v>
      </c>
      <c r="D36" s="15" t="s">
        <v>162</v>
      </c>
      <c r="E36" s="15" t="s">
        <v>163</v>
      </c>
      <c r="F36" s="115" t="s">
        <v>164</v>
      </c>
      <c r="G36" s="5"/>
      <c r="H36" s="98"/>
      <c r="I36" s="22" t="s">
        <v>165</v>
      </c>
      <c r="J36" s="24"/>
      <c r="K36" s="2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  <c r="AA36" s="4"/>
    </row>
    <row r="37">
      <c r="A37" s="5"/>
      <c r="B37" s="113" t="s">
        <v>26</v>
      </c>
      <c r="C37" s="15" t="s">
        <v>166</v>
      </c>
      <c r="D37" s="116" t="s">
        <v>167</v>
      </c>
      <c r="E37" s="15" t="s">
        <v>168</v>
      </c>
      <c r="F37" s="20" t="s">
        <v>169</v>
      </c>
      <c r="G37" s="117"/>
      <c r="H37" s="118"/>
      <c r="I37" s="24"/>
      <c r="J37" s="24"/>
      <c r="K37" s="2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  <c r="AA37" s="4"/>
    </row>
    <row r="38">
      <c r="A38" s="5"/>
      <c r="B38" s="113" t="s">
        <v>170</v>
      </c>
      <c r="C38" s="15" t="s">
        <v>171</v>
      </c>
      <c r="D38" s="15" t="s">
        <v>172</v>
      </c>
      <c r="E38" s="15" t="s">
        <v>168</v>
      </c>
      <c r="F38" s="28"/>
      <c r="G38" s="5"/>
      <c r="H38" s="28"/>
      <c r="I38" s="24"/>
      <c r="J38" s="24"/>
      <c r="K38" s="2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  <c r="AA38" s="4"/>
    </row>
    <row r="39">
      <c r="A39" s="5"/>
      <c r="B39" s="113" t="s">
        <v>173</v>
      </c>
      <c r="C39" s="15" t="s">
        <v>174</v>
      </c>
      <c r="D39" s="15" t="s">
        <v>175</v>
      </c>
      <c r="E39" s="15" t="s">
        <v>168</v>
      </c>
      <c r="F39" s="28"/>
      <c r="G39" s="5"/>
      <c r="H39" s="28"/>
      <c r="I39" s="24"/>
      <c r="J39" s="24"/>
      <c r="K39" s="2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  <c r="AA39" s="4"/>
    </row>
    <row r="40" ht="15.75" customHeight="1">
      <c r="A40" s="5"/>
      <c r="B40" s="5"/>
      <c r="C40" s="5"/>
      <c r="D40" s="5"/>
      <c r="E40" s="5"/>
      <c r="F40" s="7"/>
      <c r="G40" s="5"/>
      <c r="H40" s="28"/>
      <c r="I40" s="24"/>
      <c r="J40" s="24"/>
      <c r="K40" s="2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7"/>
      <c r="G41" s="5"/>
      <c r="H41" s="28"/>
      <c r="I41" s="24"/>
      <c r="J41" s="24"/>
      <c r="K41" s="2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30" t="s">
        <v>176</v>
      </c>
      <c r="C42" s="5"/>
      <c r="D42" s="5"/>
      <c r="E42" s="5"/>
      <c r="F42" s="7"/>
      <c r="G42" s="5"/>
      <c r="H42" s="28"/>
      <c r="I42" s="24"/>
      <c r="J42" s="24"/>
      <c r="K42" s="2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119" t="s">
        <v>177</v>
      </c>
      <c r="C43" s="5"/>
      <c r="D43" s="5"/>
      <c r="E43" s="5"/>
      <c r="F43" s="7"/>
      <c r="G43" s="5"/>
      <c r="H43" s="28"/>
      <c r="I43" s="24"/>
      <c r="J43" s="24"/>
      <c r="K43" s="2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120" t="s">
        <v>178</v>
      </c>
      <c r="C44" s="121" t="s">
        <v>179</v>
      </c>
      <c r="D44" s="122"/>
      <c r="E44" s="122"/>
      <c r="F44" s="123"/>
      <c r="G44" s="124"/>
      <c r="H44" s="28"/>
      <c r="I44" s="24"/>
      <c r="J44" s="24"/>
      <c r="K44" s="2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120" t="s">
        <v>180</v>
      </c>
      <c r="C45" s="121" t="s">
        <v>181</v>
      </c>
      <c r="D45" s="122"/>
      <c r="E45" s="122"/>
      <c r="F45" s="123"/>
      <c r="G45" s="124"/>
      <c r="H45" s="28"/>
      <c r="I45" s="24"/>
      <c r="J45" s="24"/>
      <c r="K45" s="2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120" t="s">
        <v>182</v>
      </c>
      <c r="C46" s="121" t="s">
        <v>183</v>
      </c>
      <c r="D46" s="122"/>
      <c r="E46" s="122"/>
      <c r="F46" s="123"/>
      <c r="G46" s="124"/>
      <c r="H46" s="28"/>
      <c r="I46" s="24"/>
      <c r="J46" s="24"/>
      <c r="K46" s="2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7"/>
      <c r="G47" s="5"/>
      <c r="H47" s="28"/>
      <c r="I47" s="24"/>
      <c r="J47" s="24"/>
      <c r="K47" s="2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119" t="s">
        <v>184</v>
      </c>
      <c r="C48" s="119" t="s">
        <v>185</v>
      </c>
      <c r="D48" s="125" t="s">
        <v>186</v>
      </c>
      <c r="E48" s="119" t="s">
        <v>187</v>
      </c>
      <c r="F48" s="111" t="s">
        <v>188</v>
      </c>
      <c r="G48" s="119" t="s">
        <v>189</v>
      </c>
      <c r="H48" s="112" t="s">
        <v>190</v>
      </c>
      <c r="I48" s="24"/>
      <c r="J48" s="24"/>
      <c r="K48" s="2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126" t="s">
        <v>0</v>
      </c>
      <c r="C49" s="15" t="s">
        <v>20</v>
      </c>
      <c r="D49" s="15" t="s">
        <v>191</v>
      </c>
      <c r="E49" s="15" t="s">
        <v>192</v>
      </c>
      <c r="F49" s="127" t="s">
        <v>193</v>
      </c>
      <c r="G49" s="127" t="s">
        <v>194</v>
      </c>
      <c r="H49" s="20" t="s">
        <v>195</v>
      </c>
      <c r="I49" s="22" t="s">
        <v>196</v>
      </c>
      <c r="J49" s="24"/>
      <c r="K49" s="2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128"/>
      <c r="C50" s="127" t="s">
        <v>197</v>
      </c>
      <c r="D50" s="15" t="s">
        <v>53</v>
      </c>
      <c r="E50" s="15" t="s">
        <v>198</v>
      </c>
      <c r="F50" s="127" t="s">
        <v>199</v>
      </c>
      <c r="G50" s="15" t="s">
        <v>200</v>
      </c>
      <c r="H50" s="20" t="s">
        <v>201</v>
      </c>
      <c r="I50" s="22" t="s">
        <v>202</v>
      </c>
      <c r="J50" s="24"/>
      <c r="K50" s="2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128"/>
      <c r="C51" s="129" t="s">
        <v>203</v>
      </c>
      <c r="D51" s="127" t="s">
        <v>53</v>
      </c>
      <c r="E51" s="127" t="s">
        <v>198</v>
      </c>
      <c r="F51" s="127" t="s">
        <v>204</v>
      </c>
      <c r="G51" s="130">
        <v>46568.0</v>
      </c>
      <c r="H51" s="20"/>
      <c r="I51" s="22"/>
      <c r="J51" s="24"/>
      <c r="K51" s="2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128"/>
      <c r="C52" s="15" t="s">
        <v>22</v>
      </c>
      <c r="D52" s="15" t="s">
        <v>53</v>
      </c>
      <c r="E52" s="15" t="s">
        <v>198</v>
      </c>
      <c r="F52" s="127" t="s">
        <v>205</v>
      </c>
      <c r="G52" s="15" t="s">
        <v>206</v>
      </c>
      <c r="H52" s="20" t="s">
        <v>207</v>
      </c>
      <c r="I52" s="22" t="s">
        <v>208</v>
      </c>
      <c r="J52" s="24"/>
      <c r="K52" s="2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128"/>
      <c r="C53" s="15" t="s">
        <v>23</v>
      </c>
      <c r="D53" s="15" t="s">
        <v>53</v>
      </c>
      <c r="E53" s="15" t="s">
        <v>192</v>
      </c>
      <c r="F53" s="127" t="s">
        <v>209</v>
      </c>
      <c r="G53" s="15" t="s">
        <v>210</v>
      </c>
      <c r="H53" s="20" t="s">
        <v>53</v>
      </c>
      <c r="I53" s="24"/>
      <c r="J53" s="24"/>
      <c r="K53" s="2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128"/>
      <c r="C54" s="15" t="s">
        <v>24</v>
      </c>
      <c r="D54" s="15" t="s">
        <v>211</v>
      </c>
      <c r="E54" s="15" t="s">
        <v>212</v>
      </c>
      <c r="F54" s="15" t="s">
        <v>213</v>
      </c>
      <c r="G54" s="15" t="s">
        <v>214</v>
      </c>
      <c r="H54" s="20" t="s">
        <v>53</v>
      </c>
      <c r="I54" s="24"/>
      <c r="J54" s="24"/>
      <c r="K54" s="2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128"/>
      <c r="C55" s="15" t="s">
        <v>25</v>
      </c>
      <c r="D55" s="15" t="s">
        <v>53</v>
      </c>
      <c r="E55" s="15" t="s">
        <v>215</v>
      </c>
      <c r="F55" s="127" t="s">
        <v>216</v>
      </c>
      <c r="G55" s="15" t="s">
        <v>217</v>
      </c>
      <c r="H55" s="20" t="s">
        <v>53</v>
      </c>
      <c r="I55" s="22"/>
      <c r="J55" s="24"/>
      <c r="K55" s="2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128"/>
      <c r="C56" s="15" t="s">
        <v>27</v>
      </c>
      <c r="D56" s="15" t="s">
        <v>53</v>
      </c>
      <c r="E56" s="15" t="s">
        <v>218</v>
      </c>
      <c r="F56" s="15" t="s">
        <v>219</v>
      </c>
      <c r="G56" s="15" t="s">
        <v>89</v>
      </c>
      <c r="H56" s="20" t="s">
        <v>220</v>
      </c>
      <c r="I56" s="22" t="s">
        <v>221</v>
      </c>
      <c r="J56" s="24"/>
      <c r="K56" s="2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128"/>
      <c r="C57" s="15" t="s">
        <v>28</v>
      </c>
      <c r="D57" s="15" t="s">
        <v>53</v>
      </c>
      <c r="E57" s="15" t="s">
        <v>222</v>
      </c>
      <c r="F57" s="15" t="s">
        <v>223</v>
      </c>
      <c r="G57" s="15" t="s">
        <v>224</v>
      </c>
      <c r="H57" s="20" t="s">
        <v>53</v>
      </c>
      <c r="I57" s="24"/>
      <c r="J57" s="24"/>
      <c r="K57" s="2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128"/>
      <c r="C58" s="15" t="s">
        <v>30</v>
      </c>
      <c r="D58" s="15" t="s">
        <v>53</v>
      </c>
      <c r="E58" s="15" t="s">
        <v>192</v>
      </c>
      <c r="F58" s="15" t="s">
        <v>225</v>
      </c>
      <c r="G58" s="15" t="s">
        <v>226</v>
      </c>
      <c r="H58" s="24"/>
      <c r="I58" s="22" t="s">
        <v>227</v>
      </c>
      <c r="J58" s="24"/>
      <c r="K58" s="2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128"/>
      <c r="C59" s="15" t="s">
        <v>33</v>
      </c>
      <c r="D59" s="15" t="s">
        <v>53</v>
      </c>
      <c r="E59" s="15" t="s">
        <v>215</v>
      </c>
      <c r="F59" s="15" t="s">
        <v>228</v>
      </c>
      <c r="G59" s="15" t="s">
        <v>44</v>
      </c>
      <c r="H59" s="24"/>
      <c r="I59" s="24"/>
      <c r="J59" s="24"/>
      <c r="K59" s="2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128"/>
      <c r="C60" s="15" t="s">
        <v>29</v>
      </c>
      <c r="D60" s="15" t="s">
        <v>229</v>
      </c>
      <c r="E60" s="15" t="s">
        <v>218</v>
      </c>
      <c r="F60" s="15" t="s">
        <v>230</v>
      </c>
      <c r="G60" s="15" t="s">
        <v>41</v>
      </c>
      <c r="H60" s="24"/>
      <c r="I60" s="24"/>
      <c r="J60" s="24"/>
      <c r="K60" s="2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128"/>
      <c r="C61" s="15" t="s">
        <v>34</v>
      </c>
      <c r="D61" s="15" t="s">
        <v>53</v>
      </c>
      <c r="E61" s="15" t="s">
        <v>215</v>
      </c>
      <c r="F61" s="15" t="s">
        <v>231</v>
      </c>
      <c r="G61" s="15" t="s">
        <v>232</v>
      </c>
      <c r="H61" s="24"/>
      <c r="I61" s="24"/>
      <c r="J61" s="24"/>
      <c r="K61" s="2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128"/>
      <c r="C62" s="15" t="s">
        <v>32</v>
      </c>
      <c r="D62" s="15" t="s">
        <v>233</v>
      </c>
      <c r="E62" s="15" t="s">
        <v>234</v>
      </c>
      <c r="F62" s="15" t="s">
        <v>235</v>
      </c>
      <c r="G62" s="15" t="s">
        <v>43</v>
      </c>
      <c r="H62" s="24"/>
      <c r="I62" s="24"/>
      <c r="J62" s="24"/>
      <c r="K62" s="2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128"/>
      <c r="C63" s="15" t="s">
        <v>35</v>
      </c>
      <c r="D63" s="15" t="s">
        <v>236</v>
      </c>
      <c r="E63" s="15" t="s">
        <v>237</v>
      </c>
      <c r="F63" s="15" t="s">
        <v>238</v>
      </c>
      <c r="G63" s="15" t="s">
        <v>239</v>
      </c>
      <c r="H63" s="24"/>
      <c r="I63" s="24"/>
      <c r="J63" s="24"/>
      <c r="K63" s="2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128"/>
      <c r="C64" s="15" t="s">
        <v>36</v>
      </c>
      <c r="D64" s="15" t="s">
        <v>240</v>
      </c>
      <c r="E64" s="15" t="s">
        <v>218</v>
      </c>
      <c r="F64" s="15" t="s">
        <v>241</v>
      </c>
      <c r="G64" s="15" t="s">
        <v>54</v>
      </c>
      <c r="H64" s="20" t="s">
        <v>242</v>
      </c>
      <c r="I64" s="22" t="s">
        <v>243</v>
      </c>
      <c r="J64" s="24"/>
      <c r="K64" s="2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128"/>
      <c r="C65" s="15" t="s">
        <v>37</v>
      </c>
      <c r="D65" s="15" t="s">
        <v>244</v>
      </c>
      <c r="E65" s="15" t="s">
        <v>218</v>
      </c>
      <c r="F65" s="15" t="s">
        <v>245</v>
      </c>
      <c r="G65" s="15" t="s">
        <v>246</v>
      </c>
      <c r="H65" s="20" t="s">
        <v>53</v>
      </c>
      <c r="I65" s="24"/>
      <c r="J65" s="24"/>
      <c r="K65" s="2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131"/>
      <c r="C66" s="127" t="s">
        <v>247</v>
      </c>
      <c r="D66" s="127" t="s">
        <v>248</v>
      </c>
      <c r="E66" s="127" t="s">
        <v>249</v>
      </c>
      <c r="F66" s="15"/>
      <c r="G66" s="15"/>
      <c r="H66" s="20"/>
      <c r="I66" s="24"/>
      <c r="J66" s="24"/>
      <c r="K66" s="2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126" t="s">
        <v>4</v>
      </c>
      <c r="C67" s="15" t="s">
        <v>20</v>
      </c>
      <c r="D67" s="15" t="s">
        <v>191</v>
      </c>
      <c r="E67" s="15" t="s">
        <v>192</v>
      </c>
      <c r="F67" s="15" t="s">
        <v>250</v>
      </c>
      <c r="G67" s="15" t="s">
        <v>251</v>
      </c>
      <c r="H67" s="20"/>
      <c r="I67" s="22" t="s">
        <v>252</v>
      </c>
      <c r="J67" s="24"/>
      <c r="K67" s="2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128"/>
      <c r="C68" s="15" t="s">
        <v>66</v>
      </c>
      <c r="D68" s="15" t="s">
        <v>53</v>
      </c>
      <c r="E68" s="15" t="s">
        <v>253</v>
      </c>
      <c r="F68" s="15" t="s">
        <v>254</v>
      </c>
      <c r="G68" s="15" t="s">
        <v>255</v>
      </c>
      <c r="H68" s="20" t="s">
        <v>256</v>
      </c>
      <c r="I68" s="22" t="s">
        <v>257</v>
      </c>
      <c r="J68" s="22" t="s">
        <v>258</v>
      </c>
      <c r="K68" s="22" t="s">
        <v>259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128"/>
      <c r="C69" s="15" t="s">
        <v>67</v>
      </c>
      <c r="D69" s="15" t="s">
        <v>53</v>
      </c>
      <c r="E69" s="15" t="s">
        <v>260</v>
      </c>
      <c r="F69" s="15" t="s">
        <v>261</v>
      </c>
      <c r="G69" s="15" t="s">
        <v>262</v>
      </c>
      <c r="H69" s="20" t="s">
        <v>263</v>
      </c>
      <c r="I69" s="22"/>
      <c r="J69" s="22"/>
      <c r="K69" s="22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128"/>
      <c r="C70" s="15" t="s">
        <v>22</v>
      </c>
      <c r="D70" s="15" t="s">
        <v>53</v>
      </c>
      <c r="E70" s="15" t="s">
        <v>198</v>
      </c>
      <c r="F70" s="15" t="s">
        <v>264</v>
      </c>
      <c r="G70" s="15" t="s">
        <v>265</v>
      </c>
      <c r="H70" s="20" t="s">
        <v>266</v>
      </c>
      <c r="I70" s="24"/>
      <c r="J70" s="24"/>
      <c r="K70" s="2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128"/>
      <c r="C71" s="15" t="s">
        <v>68</v>
      </c>
      <c r="D71" s="15" t="s">
        <v>53</v>
      </c>
      <c r="E71" s="15" t="s">
        <v>198</v>
      </c>
      <c r="F71" s="15" t="s">
        <v>267</v>
      </c>
      <c r="G71" s="15" t="s">
        <v>268</v>
      </c>
      <c r="H71" s="132" t="str">
        <f>IFERROR(__xludf.DUMMYFUNCTION("AI(""Fill an appropriate value for this cell based on the table context"")"),"The calendar date on which the activity took place.")</f>
        <v>The calendar date on which the activity took place.</v>
      </c>
      <c r="I71" s="24"/>
      <c r="J71" s="24"/>
      <c r="K71" s="2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128"/>
      <c r="C72" s="15" t="s">
        <v>70</v>
      </c>
      <c r="D72" s="15" t="s">
        <v>269</v>
      </c>
      <c r="E72" s="15" t="s">
        <v>270</v>
      </c>
      <c r="F72" s="15" t="s">
        <v>271</v>
      </c>
      <c r="G72" s="15" t="s">
        <v>272</v>
      </c>
      <c r="H72" s="81"/>
      <c r="I72" s="12" t="s">
        <v>273</v>
      </c>
      <c r="J72" s="24"/>
      <c r="K72" s="2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128"/>
      <c r="C73" s="15" t="s">
        <v>71</v>
      </c>
      <c r="D73" s="15" t="s">
        <v>274</v>
      </c>
      <c r="E73" s="15" t="s">
        <v>275</v>
      </c>
      <c r="F73" s="15" t="s">
        <v>276</v>
      </c>
      <c r="G73" s="15" t="s">
        <v>277</v>
      </c>
      <c r="H73" s="81"/>
      <c r="I73" s="24"/>
      <c r="J73" s="24"/>
      <c r="K73" s="2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128"/>
      <c r="C74" s="15" t="s">
        <v>72</v>
      </c>
      <c r="D74" s="15" t="s">
        <v>278</v>
      </c>
      <c r="E74" s="15" t="s">
        <v>279</v>
      </c>
      <c r="F74" s="15" t="s">
        <v>280</v>
      </c>
      <c r="G74" s="15" t="s">
        <v>281</v>
      </c>
      <c r="H74" s="88"/>
      <c r="I74" s="24"/>
      <c r="J74" s="24"/>
      <c r="K74" s="2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128"/>
      <c r="C75" s="15" t="s">
        <v>34</v>
      </c>
      <c r="D75" s="15" t="s">
        <v>53</v>
      </c>
      <c r="E75" s="15" t="s">
        <v>215</v>
      </c>
      <c r="F75" s="15" t="s">
        <v>282</v>
      </c>
      <c r="G75" s="15" t="s">
        <v>232</v>
      </c>
      <c r="H75" s="28"/>
      <c r="I75" s="24"/>
      <c r="J75" s="24"/>
      <c r="K75" s="2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128"/>
      <c r="C76" s="127" t="s">
        <v>74</v>
      </c>
      <c r="D76" s="15" t="s">
        <v>283</v>
      </c>
      <c r="E76" s="15" t="s">
        <v>212</v>
      </c>
      <c r="F76" s="15" t="s">
        <v>284</v>
      </c>
      <c r="G76" s="15" t="s">
        <v>80</v>
      </c>
      <c r="H76" s="28"/>
      <c r="I76" s="24"/>
      <c r="J76" s="24"/>
      <c r="K76" s="2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128"/>
      <c r="C77" s="15" t="s">
        <v>75</v>
      </c>
      <c r="D77" s="15" t="s">
        <v>53</v>
      </c>
      <c r="E77" s="15" t="s">
        <v>285</v>
      </c>
      <c r="F77" s="15" t="s">
        <v>286</v>
      </c>
      <c r="G77" s="15" t="s">
        <v>287</v>
      </c>
      <c r="H77" s="28"/>
      <c r="I77" s="24"/>
      <c r="J77" s="24"/>
      <c r="K77" s="2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126" t="s">
        <v>26</v>
      </c>
      <c r="C78" s="15" t="s">
        <v>20</v>
      </c>
      <c r="D78" s="15" t="s">
        <v>191</v>
      </c>
      <c r="E78" s="15" t="s">
        <v>192</v>
      </c>
      <c r="F78" s="15" t="s">
        <v>288</v>
      </c>
      <c r="G78" s="15" t="s">
        <v>289</v>
      </c>
      <c r="H78" s="28"/>
      <c r="I78" s="24"/>
      <c r="J78" s="24"/>
      <c r="K78" s="2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128"/>
      <c r="C79" s="15" t="s">
        <v>66</v>
      </c>
      <c r="D79" s="15" t="s">
        <v>53</v>
      </c>
      <c r="E79" s="15" t="s">
        <v>253</v>
      </c>
      <c r="F79" s="15" t="s">
        <v>290</v>
      </c>
      <c r="G79" s="15" t="s">
        <v>255</v>
      </c>
      <c r="H79" s="28"/>
      <c r="I79" s="24"/>
      <c r="J79" s="24"/>
      <c r="K79" s="2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128"/>
      <c r="C80" s="15" t="s">
        <v>67</v>
      </c>
      <c r="D80" s="15" t="s">
        <v>53</v>
      </c>
      <c r="E80" s="15" t="s">
        <v>260</v>
      </c>
      <c r="F80" s="15" t="s">
        <v>291</v>
      </c>
      <c r="G80" s="15" t="s">
        <v>262</v>
      </c>
      <c r="H80" s="28"/>
      <c r="I80" s="24"/>
      <c r="J80" s="24"/>
      <c r="K80" s="2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128"/>
      <c r="C81" s="15" t="s">
        <v>22</v>
      </c>
      <c r="D81" s="15" t="s">
        <v>53</v>
      </c>
      <c r="E81" s="15" t="s">
        <v>198</v>
      </c>
      <c r="F81" s="15" t="s">
        <v>292</v>
      </c>
      <c r="G81" s="15" t="s">
        <v>265</v>
      </c>
      <c r="H81" s="28"/>
      <c r="I81" s="24"/>
      <c r="J81" s="24"/>
      <c r="K81" s="2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128"/>
      <c r="C82" s="15" t="s">
        <v>68</v>
      </c>
      <c r="D82" s="15" t="s">
        <v>53</v>
      </c>
      <c r="E82" s="15" t="s">
        <v>198</v>
      </c>
      <c r="F82" s="15" t="s">
        <v>293</v>
      </c>
      <c r="G82" s="15" t="s">
        <v>268</v>
      </c>
      <c r="H82" s="28"/>
      <c r="I82" s="24"/>
      <c r="J82" s="24"/>
      <c r="K82" s="2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128"/>
      <c r="C83" s="15" t="s">
        <v>93</v>
      </c>
      <c r="D83" s="15" t="s">
        <v>269</v>
      </c>
      <c r="E83" s="15" t="s">
        <v>270</v>
      </c>
      <c r="F83" s="15" t="s">
        <v>294</v>
      </c>
      <c r="G83" s="15" t="s">
        <v>272</v>
      </c>
      <c r="H83" s="28"/>
      <c r="I83" s="24"/>
      <c r="J83" s="24"/>
      <c r="K83" s="2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128"/>
      <c r="C84" s="15" t="s">
        <v>94</v>
      </c>
      <c r="D84" s="15" t="s">
        <v>295</v>
      </c>
      <c r="E84" s="15" t="s">
        <v>212</v>
      </c>
      <c r="F84" s="15" t="s">
        <v>296</v>
      </c>
      <c r="G84" s="15" t="s">
        <v>109</v>
      </c>
      <c r="H84" s="28"/>
      <c r="I84" s="24"/>
      <c r="J84" s="24"/>
      <c r="K84" s="2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128"/>
      <c r="C85" s="15" t="s">
        <v>71</v>
      </c>
      <c r="D85" s="15" t="s">
        <v>274</v>
      </c>
      <c r="E85" s="15" t="s">
        <v>275</v>
      </c>
      <c r="F85" s="15" t="s">
        <v>276</v>
      </c>
      <c r="G85" s="15" t="s">
        <v>277</v>
      </c>
      <c r="H85" s="28"/>
      <c r="I85" s="24"/>
      <c r="J85" s="24"/>
      <c r="K85" s="2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128"/>
      <c r="C86" s="15" t="s">
        <v>72</v>
      </c>
      <c r="D86" s="15" t="s">
        <v>278</v>
      </c>
      <c r="E86" s="15" t="s">
        <v>279</v>
      </c>
      <c r="F86" s="15" t="s">
        <v>280</v>
      </c>
      <c r="G86" s="15" t="s">
        <v>281</v>
      </c>
      <c r="H86" s="28"/>
      <c r="I86" s="24"/>
      <c r="J86" s="24"/>
      <c r="K86" s="2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128"/>
      <c r="C87" s="15" t="s">
        <v>34</v>
      </c>
      <c r="D87" s="15" t="s">
        <v>53</v>
      </c>
      <c r="E87" s="15" t="s">
        <v>215</v>
      </c>
      <c r="F87" s="15" t="s">
        <v>282</v>
      </c>
      <c r="G87" s="15" t="s">
        <v>297</v>
      </c>
      <c r="H87" s="28"/>
      <c r="I87" s="24"/>
      <c r="J87" s="24"/>
      <c r="K87" s="2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128"/>
      <c r="C88" s="127" t="s">
        <v>97</v>
      </c>
      <c r="D88" s="15" t="s">
        <v>298</v>
      </c>
      <c r="E88" s="15" t="s">
        <v>237</v>
      </c>
      <c r="F88" s="15" t="s">
        <v>299</v>
      </c>
      <c r="G88" s="15" t="s">
        <v>300</v>
      </c>
      <c r="H88" s="28"/>
      <c r="I88" s="12" t="s">
        <v>227</v>
      </c>
      <c r="J88" s="24"/>
      <c r="K88" s="2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128"/>
      <c r="C89" s="127" t="s">
        <v>74</v>
      </c>
      <c r="D89" s="15" t="s">
        <v>283</v>
      </c>
      <c r="E89" s="15" t="s">
        <v>212</v>
      </c>
      <c r="F89" s="127" t="s">
        <v>301</v>
      </c>
      <c r="G89" s="15" t="s">
        <v>80</v>
      </c>
      <c r="H89" s="28"/>
      <c r="I89" s="24"/>
      <c r="J89" s="24"/>
      <c r="K89" s="2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128"/>
      <c r="C90" s="15" t="s">
        <v>99</v>
      </c>
      <c r="D90" s="15" t="s">
        <v>53</v>
      </c>
      <c r="E90" s="15" t="s">
        <v>285</v>
      </c>
      <c r="F90" s="15" t="s">
        <v>302</v>
      </c>
      <c r="G90" s="15" t="s">
        <v>303</v>
      </c>
      <c r="H90" s="28"/>
      <c r="I90" s="24"/>
      <c r="J90" s="24"/>
      <c r="K90" s="2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126" t="s">
        <v>170</v>
      </c>
      <c r="C91" s="15" t="s">
        <v>20</v>
      </c>
      <c r="D91" s="15" t="s">
        <v>191</v>
      </c>
      <c r="E91" s="15" t="s">
        <v>192</v>
      </c>
      <c r="F91" s="15" t="s">
        <v>304</v>
      </c>
      <c r="G91" s="15" t="s">
        <v>305</v>
      </c>
      <c r="H91" s="20" t="s">
        <v>53</v>
      </c>
      <c r="I91" s="24"/>
      <c r="J91" s="24"/>
      <c r="K91" s="2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128"/>
      <c r="C92" s="15" t="s">
        <v>66</v>
      </c>
      <c r="D92" s="15" t="s">
        <v>53</v>
      </c>
      <c r="E92" s="15" t="s">
        <v>253</v>
      </c>
      <c r="F92" s="15" t="s">
        <v>290</v>
      </c>
      <c r="G92" s="15" t="s">
        <v>255</v>
      </c>
      <c r="H92" s="20" t="s">
        <v>53</v>
      </c>
      <c r="I92" s="24"/>
      <c r="J92" s="24"/>
      <c r="K92" s="2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128"/>
      <c r="C93" s="15" t="s">
        <v>67</v>
      </c>
      <c r="D93" s="15" t="s">
        <v>53</v>
      </c>
      <c r="E93" s="15" t="s">
        <v>260</v>
      </c>
      <c r="F93" s="15" t="s">
        <v>306</v>
      </c>
      <c r="G93" s="15" t="s">
        <v>307</v>
      </c>
      <c r="H93" s="20" t="s">
        <v>53</v>
      </c>
      <c r="I93" s="24"/>
      <c r="J93" s="24"/>
      <c r="K93" s="2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128"/>
      <c r="C94" s="15" t="s">
        <v>22</v>
      </c>
      <c r="D94" s="15" t="s">
        <v>53</v>
      </c>
      <c r="E94" s="15" t="s">
        <v>198</v>
      </c>
      <c r="F94" s="15" t="s">
        <v>292</v>
      </c>
      <c r="G94" s="15" t="s">
        <v>265</v>
      </c>
      <c r="H94" s="20" t="s">
        <v>53</v>
      </c>
      <c r="I94" s="24"/>
      <c r="J94" s="24"/>
      <c r="K94" s="2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128"/>
      <c r="C95" s="15" t="s">
        <v>68</v>
      </c>
      <c r="D95" s="15" t="s">
        <v>53</v>
      </c>
      <c r="E95" s="15" t="s">
        <v>198</v>
      </c>
      <c r="F95" s="15" t="s">
        <v>308</v>
      </c>
      <c r="G95" s="15" t="s">
        <v>268</v>
      </c>
      <c r="H95" s="20" t="s">
        <v>53</v>
      </c>
      <c r="I95" s="24"/>
      <c r="J95" s="24"/>
      <c r="K95" s="2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128"/>
      <c r="C96" s="15" t="s">
        <v>70</v>
      </c>
      <c r="D96" s="15" t="s">
        <v>269</v>
      </c>
      <c r="E96" s="15" t="s">
        <v>270</v>
      </c>
      <c r="F96" s="15" t="s">
        <v>309</v>
      </c>
      <c r="G96" s="15" t="s">
        <v>310</v>
      </c>
      <c r="H96" s="20" t="s">
        <v>53</v>
      </c>
      <c r="I96" s="24"/>
      <c r="J96" s="24"/>
      <c r="K96" s="2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128"/>
      <c r="C97" s="15" t="s">
        <v>71</v>
      </c>
      <c r="D97" s="15" t="s">
        <v>274</v>
      </c>
      <c r="E97" s="15" t="s">
        <v>275</v>
      </c>
      <c r="F97" s="15" t="s">
        <v>276</v>
      </c>
      <c r="G97" s="15" t="s">
        <v>277</v>
      </c>
      <c r="H97" s="20" t="s">
        <v>53</v>
      </c>
      <c r="I97" s="24"/>
      <c r="J97" s="24"/>
      <c r="K97" s="2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128"/>
      <c r="C98" s="15" t="s">
        <v>72</v>
      </c>
      <c r="D98" s="15" t="s">
        <v>278</v>
      </c>
      <c r="E98" s="15" t="s">
        <v>279</v>
      </c>
      <c r="F98" s="15" t="s">
        <v>280</v>
      </c>
      <c r="G98" s="15" t="s">
        <v>281</v>
      </c>
      <c r="H98" s="20" t="s">
        <v>53</v>
      </c>
      <c r="I98" s="24"/>
      <c r="J98" s="24"/>
      <c r="K98" s="2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128"/>
      <c r="C99" s="15" t="s">
        <v>34</v>
      </c>
      <c r="D99" s="15" t="s">
        <v>53</v>
      </c>
      <c r="E99" s="15" t="s">
        <v>215</v>
      </c>
      <c r="F99" s="15" t="s">
        <v>311</v>
      </c>
      <c r="G99" s="15" t="s">
        <v>232</v>
      </c>
      <c r="H99" s="28"/>
      <c r="I99" s="24"/>
      <c r="J99" s="24"/>
      <c r="K99" s="2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128"/>
      <c r="C100" s="15" t="s">
        <v>312</v>
      </c>
      <c r="D100" s="15" t="s">
        <v>53</v>
      </c>
      <c r="E100" s="15" t="s">
        <v>313</v>
      </c>
      <c r="F100" s="15" t="s">
        <v>314</v>
      </c>
      <c r="G100" s="15" t="s">
        <v>315</v>
      </c>
      <c r="H100" s="28"/>
      <c r="I100" s="24"/>
      <c r="J100" s="24"/>
      <c r="K100" s="2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128"/>
      <c r="C101" s="15" t="s">
        <v>316</v>
      </c>
      <c r="D101" s="15" t="s">
        <v>317</v>
      </c>
      <c r="E101" s="15" t="s">
        <v>313</v>
      </c>
      <c r="F101" s="15" t="s">
        <v>318</v>
      </c>
      <c r="G101" s="15" t="s">
        <v>319</v>
      </c>
      <c r="H101" s="28"/>
      <c r="I101" s="24"/>
      <c r="J101" s="24"/>
      <c r="K101" s="2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128"/>
      <c r="C102" s="15" t="s">
        <v>97</v>
      </c>
      <c r="D102" s="15" t="s">
        <v>298</v>
      </c>
      <c r="E102" s="15" t="s">
        <v>237</v>
      </c>
      <c r="F102" s="15" t="s">
        <v>320</v>
      </c>
      <c r="G102" s="15" t="s">
        <v>300</v>
      </c>
      <c r="H102" s="28"/>
      <c r="I102" s="24"/>
      <c r="J102" s="24"/>
      <c r="K102" s="2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133"/>
      <c r="C103" s="15" t="s">
        <v>321</v>
      </c>
      <c r="D103" s="15" t="s">
        <v>53</v>
      </c>
      <c r="E103" s="15" t="s">
        <v>285</v>
      </c>
      <c r="F103" s="15" t="s">
        <v>322</v>
      </c>
      <c r="G103" s="15" t="s">
        <v>323</v>
      </c>
      <c r="H103" s="28"/>
      <c r="I103" s="24"/>
      <c r="J103" s="24"/>
      <c r="K103" s="2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126" t="s">
        <v>173</v>
      </c>
      <c r="C104" s="15" t="s">
        <v>20</v>
      </c>
      <c r="D104" s="15" t="s">
        <v>191</v>
      </c>
      <c r="E104" s="15" t="s">
        <v>192</v>
      </c>
      <c r="F104" s="15" t="s">
        <v>324</v>
      </c>
      <c r="G104" s="15" t="s">
        <v>325</v>
      </c>
      <c r="H104" s="28"/>
      <c r="I104" s="24"/>
      <c r="J104" s="24"/>
      <c r="K104" s="2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128"/>
      <c r="C105" s="15" t="s">
        <v>66</v>
      </c>
      <c r="D105" s="15" t="s">
        <v>53</v>
      </c>
      <c r="E105" s="15" t="s">
        <v>253</v>
      </c>
      <c r="F105" s="15" t="s">
        <v>326</v>
      </c>
      <c r="G105" s="15" t="s">
        <v>255</v>
      </c>
      <c r="H105" s="28"/>
      <c r="I105" s="24"/>
      <c r="J105" s="24"/>
      <c r="K105" s="2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128"/>
      <c r="C106" s="15" t="s">
        <v>67</v>
      </c>
      <c r="D106" s="15" t="s">
        <v>53</v>
      </c>
      <c r="E106" s="15" t="s">
        <v>260</v>
      </c>
      <c r="F106" s="15" t="s">
        <v>327</v>
      </c>
      <c r="G106" s="15" t="s">
        <v>328</v>
      </c>
      <c r="H106" s="28"/>
      <c r="I106" s="24"/>
      <c r="J106" s="24"/>
      <c r="K106" s="2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128"/>
      <c r="C107" s="15" t="s">
        <v>22</v>
      </c>
      <c r="D107" s="15" t="s">
        <v>53</v>
      </c>
      <c r="E107" s="15" t="s">
        <v>198</v>
      </c>
      <c r="F107" s="15" t="s">
        <v>329</v>
      </c>
      <c r="G107" s="15" t="s">
        <v>265</v>
      </c>
      <c r="H107" s="28"/>
      <c r="I107" s="24"/>
      <c r="J107" s="24"/>
      <c r="K107" s="2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128"/>
      <c r="C108" s="15" t="s">
        <v>68</v>
      </c>
      <c r="D108" s="15" t="s">
        <v>53</v>
      </c>
      <c r="E108" s="15" t="s">
        <v>198</v>
      </c>
      <c r="F108" s="15" t="s">
        <v>330</v>
      </c>
      <c r="G108" s="15" t="s">
        <v>268</v>
      </c>
      <c r="H108" s="28"/>
      <c r="I108" s="24"/>
      <c r="J108" s="24"/>
      <c r="K108" s="2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128"/>
      <c r="C109" s="15" t="s">
        <v>70</v>
      </c>
      <c r="D109" s="15" t="s">
        <v>269</v>
      </c>
      <c r="E109" s="15" t="s">
        <v>270</v>
      </c>
      <c r="F109" s="15" t="s">
        <v>331</v>
      </c>
      <c r="G109" s="15" t="s">
        <v>332</v>
      </c>
      <c r="H109" s="28"/>
      <c r="I109" s="24"/>
      <c r="J109" s="24"/>
      <c r="K109" s="2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128"/>
      <c r="C110" s="15" t="s">
        <v>71</v>
      </c>
      <c r="D110" s="15" t="s">
        <v>274</v>
      </c>
      <c r="E110" s="15" t="s">
        <v>275</v>
      </c>
      <c r="F110" s="15" t="s">
        <v>333</v>
      </c>
      <c r="G110" s="15" t="s">
        <v>277</v>
      </c>
      <c r="H110" s="28"/>
      <c r="I110" s="24"/>
      <c r="J110" s="24"/>
      <c r="K110" s="2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128"/>
      <c r="C111" s="15" t="s">
        <v>72</v>
      </c>
      <c r="D111" s="15" t="s">
        <v>278</v>
      </c>
      <c r="E111" s="15" t="s">
        <v>279</v>
      </c>
      <c r="F111" s="15" t="s">
        <v>334</v>
      </c>
      <c r="G111" s="15" t="s">
        <v>281</v>
      </c>
      <c r="H111" s="28"/>
      <c r="I111" s="24"/>
      <c r="J111" s="24"/>
      <c r="K111" s="2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128"/>
      <c r="C112" s="15" t="s">
        <v>34</v>
      </c>
      <c r="D112" s="15" t="s">
        <v>53</v>
      </c>
      <c r="E112" s="15" t="s">
        <v>215</v>
      </c>
      <c r="F112" s="15" t="s">
        <v>335</v>
      </c>
      <c r="G112" s="15" t="s">
        <v>232</v>
      </c>
      <c r="H112" s="28"/>
      <c r="I112" s="24"/>
      <c r="J112" s="24"/>
      <c r="K112" s="2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128"/>
      <c r="C113" s="15" t="s">
        <v>336</v>
      </c>
      <c r="D113" s="15" t="s">
        <v>337</v>
      </c>
      <c r="E113" s="15" t="s">
        <v>192</v>
      </c>
      <c r="F113" s="15" t="s">
        <v>338</v>
      </c>
      <c r="G113" s="15" t="s">
        <v>339</v>
      </c>
      <c r="H113" s="28"/>
      <c r="I113" s="24"/>
      <c r="J113" s="24"/>
      <c r="K113" s="2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128"/>
      <c r="C114" s="15" t="s">
        <v>340</v>
      </c>
      <c r="D114" s="15" t="s">
        <v>341</v>
      </c>
      <c r="E114" s="15" t="s">
        <v>237</v>
      </c>
      <c r="F114" s="15" t="s">
        <v>342</v>
      </c>
      <c r="G114" s="15" t="s">
        <v>343</v>
      </c>
      <c r="H114" s="28"/>
      <c r="I114" s="24"/>
      <c r="J114" s="24"/>
      <c r="K114" s="2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128"/>
      <c r="C115" s="15" t="s">
        <v>344</v>
      </c>
      <c r="D115" s="15" t="s">
        <v>53</v>
      </c>
      <c r="E115" s="15" t="s">
        <v>285</v>
      </c>
      <c r="F115" s="15" t="s">
        <v>345</v>
      </c>
      <c r="G115" s="15" t="s">
        <v>346</v>
      </c>
      <c r="H115" s="28"/>
      <c r="I115" s="24"/>
      <c r="J115" s="24"/>
      <c r="K115" s="2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133"/>
      <c r="C116" s="15" t="s">
        <v>347</v>
      </c>
      <c r="D116" s="15" t="s">
        <v>53</v>
      </c>
      <c r="E116" s="15" t="s">
        <v>348</v>
      </c>
      <c r="F116" s="15" t="s">
        <v>349</v>
      </c>
      <c r="G116" s="15" t="s">
        <v>350</v>
      </c>
      <c r="H116" s="28"/>
      <c r="I116" s="24"/>
      <c r="J116" s="24"/>
      <c r="K116" s="2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134"/>
      <c r="C117" s="134"/>
      <c r="D117" s="134"/>
      <c r="E117" s="134"/>
      <c r="F117" s="135"/>
      <c r="G117" s="134"/>
      <c r="H117" s="28"/>
      <c r="I117" s="24"/>
      <c r="J117" s="24"/>
      <c r="K117" s="2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136" t="s">
        <v>351</v>
      </c>
      <c r="C118" s="134"/>
      <c r="D118" s="134"/>
      <c r="E118" s="134"/>
      <c r="F118" s="135"/>
      <c r="G118" s="134"/>
      <c r="H118" s="28"/>
      <c r="I118" s="24"/>
      <c r="J118" s="24"/>
      <c r="K118" s="2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134"/>
      <c r="C119" s="134"/>
      <c r="D119" s="134"/>
      <c r="E119" s="134"/>
      <c r="F119" s="135"/>
      <c r="G119" s="134"/>
      <c r="H119" s="28"/>
      <c r="I119" s="24"/>
      <c r="J119" s="24"/>
      <c r="K119" s="2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137" t="s">
        <v>352</v>
      </c>
      <c r="C120" s="134"/>
      <c r="D120" s="134"/>
      <c r="E120" s="134"/>
      <c r="F120" s="135"/>
      <c r="G120" s="134"/>
      <c r="H120" s="28"/>
      <c r="I120" s="24"/>
      <c r="J120" s="24"/>
      <c r="K120" s="2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138" t="s">
        <v>353</v>
      </c>
      <c r="C121" s="139" t="s">
        <v>354</v>
      </c>
      <c r="D121" s="139" t="s">
        <v>355</v>
      </c>
      <c r="E121" s="139" t="s">
        <v>356</v>
      </c>
      <c r="F121" s="140"/>
      <c r="H121" s="28"/>
      <c r="I121" s="24"/>
      <c r="J121" s="24"/>
      <c r="K121" s="2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141" t="s">
        <v>29</v>
      </c>
      <c r="C122" s="142" t="s">
        <v>41</v>
      </c>
      <c r="D122" s="143" t="s">
        <v>357</v>
      </c>
      <c r="E122" s="144" t="s">
        <v>358</v>
      </c>
      <c r="F122" s="9"/>
      <c r="G122" s="10"/>
      <c r="H122" s="20" t="s">
        <v>359</v>
      </c>
      <c r="I122" s="24"/>
      <c r="J122" s="24"/>
      <c r="K122" s="2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145"/>
      <c r="C123" s="142" t="s">
        <v>50</v>
      </c>
      <c r="D123" s="143" t="s">
        <v>360</v>
      </c>
      <c r="E123" s="144" t="s">
        <v>361</v>
      </c>
      <c r="F123" s="9"/>
      <c r="G123" s="10"/>
      <c r="H123" s="20" t="s">
        <v>362</v>
      </c>
      <c r="I123" s="22" t="s">
        <v>363</v>
      </c>
      <c r="J123" s="24"/>
      <c r="K123" s="2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145"/>
      <c r="C124" s="146" t="s">
        <v>61</v>
      </c>
      <c r="D124" s="143"/>
      <c r="E124" s="147" t="s">
        <v>364</v>
      </c>
      <c r="F124" s="9"/>
      <c r="G124" s="10"/>
      <c r="H124" s="20"/>
      <c r="I124" s="22"/>
      <c r="J124" s="24"/>
      <c r="K124" s="2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148"/>
      <c r="C125" s="142" t="s">
        <v>55</v>
      </c>
      <c r="D125" s="143" t="s">
        <v>365</v>
      </c>
      <c r="E125" s="144" t="s">
        <v>366</v>
      </c>
      <c r="F125" s="9"/>
      <c r="G125" s="10"/>
      <c r="H125" s="28"/>
      <c r="I125" s="24"/>
      <c r="J125" s="24"/>
      <c r="K125" s="2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149" t="s">
        <v>32</v>
      </c>
      <c r="C126" s="150" t="s">
        <v>43</v>
      </c>
      <c r="D126" s="151" t="s">
        <v>367</v>
      </c>
      <c r="E126" s="152" t="s">
        <v>368</v>
      </c>
      <c r="F126" s="9"/>
      <c r="G126" s="10"/>
      <c r="H126" s="28"/>
      <c r="I126" s="24"/>
      <c r="J126" s="24"/>
      <c r="K126" s="2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153"/>
      <c r="C127" s="150" t="s">
        <v>51</v>
      </c>
      <c r="D127" s="151" t="s">
        <v>369</v>
      </c>
      <c r="E127" s="152" t="s">
        <v>370</v>
      </c>
      <c r="F127" s="9"/>
      <c r="G127" s="10"/>
      <c r="H127" s="28"/>
      <c r="I127" s="24"/>
      <c r="J127" s="24"/>
      <c r="K127" s="2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153"/>
      <c r="C128" s="154" t="s">
        <v>56</v>
      </c>
      <c r="D128" s="155" t="s">
        <v>371</v>
      </c>
      <c r="E128" s="156" t="s">
        <v>372</v>
      </c>
      <c r="F128" s="9"/>
      <c r="G128" s="10"/>
      <c r="H128" s="28"/>
      <c r="I128" s="24"/>
      <c r="J128" s="24"/>
      <c r="K128" s="2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153"/>
      <c r="C129" s="154" t="s">
        <v>62</v>
      </c>
      <c r="D129" s="155" t="s">
        <v>373</v>
      </c>
      <c r="E129" s="156" t="s">
        <v>374</v>
      </c>
      <c r="F129" s="9"/>
      <c r="G129" s="10"/>
      <c r="H129" s="28"/>
      <c r="I129" s="24"/>
      <c r="J129" s="24"/>
      <c r="K129" s="2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153"/>
      <c r="C130" s="154" t="s">
        <v>65</v>
      </c>
      <c r="D130" s="155" t="s">
        <v>375</v>
      </c>
      <c r="E130" s="156" t="s">
        <v>376</v>
      </c>
      <c r="F130" s="9"/>
      <c r="G130" s="10"/>
      <c r="H130" s="28"/>
      <c r="I130" s="24"/>
      <c r="J130" s="24"/>
      <c r="K130" s="2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141" t="s">
        <v>35</v>
      </c>
      <c r="C131" s="142" t="s">
        <v>239</v>
      </c>
      <c r="D131" s="143" t="s">
        <v>377</v>
      </c>
      <c r="E131" s="144" t="s">
        <v>378</v>
      </c>
      <c r="F131" s="9"/>
      <c r="G131" s="10"/>
      <c r="H131" s="28"/>
      <c r="I131" s="24"/>
      <c r="J131" s="24"/>
      <c r="K131" s="2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145"/>
      <c r="C132" s="142" t="s">
        <v>379</v>
      </c>
      <c r="D132" s="143" t="s">
        <v>380</v>
      </c>
      <c r="E132" s="144" t="s">
        <v>381</v>
      </c>
      <c r="F132" s="9"/>
      <c r="G132" s="10"/>
      <c r="H132" s="28"/>
      <c r="I132" s="24"/>
      <c r="J132" s="24"/>
      <c r="K132" s="2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148"/>
      <c r="C133" s="142" t="s">
        <v>382</v>
      </c>
      <c r="D133" s="143" t="s">
        <v>383</v>
      </c>
      <c r="E133" s="144" t="s">
        <v>384</v>
      </c>
      <c r="F133" s="9"/>
      <c r="G133" s="10"/>
      <c r="H133" s="28"/>
      <c r="I133" s="24"/>
      <c r="J133" s="24"/>
      <c r="K133" s="2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145" t="s">
        <v>36</v>
      </c>
      <c r="C134" s="142" t="s">
        <v>54</v>
      </c>
      <c r="D134" s="143" t="s">
        <v>54</v>
      </c>
      <c r="E134" s="144" t="s">
        <v>386</v>
      </c>
      <c r="F134" s="9"/>
      <c r="G134" s="10"/>
      <c r="H134" s="28"/>
      <c r="I134" s="24"/>
      <c r="J134" s="24"/>
      <c r="K134" s="2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145"/>
      <c r="C135" s="142" t="s">
        <v>48</v>
      </c>
      <c r="D135" s="143" t="s">
        <v>48</v>
      </c>
      <c r="E135" s="144" t="s">
        <v>388</v>
      </c>
      <c r="F135" s="9"/>
      <c r="G135" s="10"/>
      <c r="H135" s="28"/>
      <c r="I135" s="24"/>
      <c r="J135" s="24"/>
      <c r="K135" s="2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145"/>
      <c r="C136" s="142" t="s">
        <v>58</v>
      </c>
      <c r="D136" s="143" t="s">
        <v>58</v>
      </c>
      <c r="E136" s="144" t="s">
        <v>390</v>
      </c>
      <c r="F136" s="9"/>
      <c r="G136" s="10"/>
      <c r="H136" s="28"/>
      <c r="I136" s="24"/>
      <c r="J136" s="24"/>
      <c r="K136" s="2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145"/>
      <c r="C137" s="142" t="s">
        <v>63</v>
      </c>
      <c r="D137" s="143" t="s">
        <v>63</v>
      </c>
      <c r="E137" s="144" t="s">
        <v>391</v>
      </c>
      <c r="F137" s="9"/>
      <c r="G137" s="10"/>
      <c r="H137" s="28"/>
      <c r="I137" s="24"/>
      <c r="J137" s="24"/>
      <c r="K137" s="2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145"/>
      <c r="C138" s="142" t="s">
        <v>61</v>
      </c>
      <c r="D138" s="143" t="s">
        <v>392</v>
      </c>
      <c r="E138" s="144" t="s">
        <v>393</v>
      </c>
      <c r="F138" s="9"/>
      <c r="G138" s="10"/>
      <c r="H138" s="28"/>
      <c r="I138" s="24"/>
      <c r="J138" s="24"/>
      <c r="K138" s="2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148"/>
      <c r="C139" s="142" t="s">
        <v>55</v>
      </c>
      <c r="D139" s="143" t="s">
        <v>365</v>
      </c>
      <c r="E139" s="144" t="s">
        <v>394</v>
      </c>
      <c r="F139" s="9"/>
      <c r="G139" s="10"/>
      <c r="H139" s="28"/>
      <c r="I139" s="24"/>
      <c r="J139" s="24"/>
      <c r="K139" s="2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145" t="s">
        <v>37</v>
      </c>
      <c r="C140" s="142" t="s">
        <v>246</v>
      </c>
      <c r="D140" s="143" t="s">
        <v>395</v>
      </c>
      <c r="E140" s="144" t="s">
        <v>396</v>
      </c>
      <c r="F140" s="9"/>
      <c r="G140" s="10"/>
      <c r="H140" s="28"/>
      <c r="I140" s="24"/>
      <c r="J140" s="24"/>
      <c r="K140" s="2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145"/>
      <c r="C141" s="142" t="s">
        <v>398</v>
      </c>
      <c r="D141" s="143" t="s">
        <v>399</v>
      </c>
      <c r="E141" s="144" t="s">
        <v>400</v>
      </c>
      <c r="F141" s="9"/>
      <c r="G141" s="10"/>
      <c r="H141" s="28"/>
      <c r="I141" s="24"/>
      <c r="J141" s="24"/>
      <c r="K141" s="2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148"/>
      <c r="C142" s="142" t="s">
        <v>401</v>
      </c>
      <c r="D142" s="143" t="s">
        <v>402</v>
      </c>
      <c r="E142" s="144" t="s">
        <v>403</v>
      </c>
      <c r="F142" s="9"/>
      <c r="G142" s="10"/>
      <c r="H142" s="28"/>
      <c r="I142" s="24"/>
      <c r="J142" s="24"/>
      <c r="K142" s="2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145" t="s">
        <v>74</v>
      </c>
      <c r="C143" s="142" t="s">
        <v>80</v>
      </c>
      <c r="D143" s="143" t="s">
        <v>404</v>
      </c>
      <c r="E143" s="144" t="s">
        <v>405</v>
      </c>
      <c r="F143" s="9"/>
      <c r="G143" s="10"/>
      <c r="H143" s="28"/>
      <c r="I143" s="24"/>
      <c r="J143" s="24"/>
      <c r="K143" s="2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145"/>
      <c r="C144" s="142" t="s">
        <v>85</v>
      </c>
      <c r="D144" s="143" t="s">
        <v>406</v>
      </c>
      <c r="E144" s="144" t="s">
        <v>407</v>
      </c>
      <c r="F144" s="9"/>
      <c r="G144" s="10"/>
      <c r="H144" s="28"/>
      <c r="I144" s="24"/>
      <c r="J144" s="24"/>
      <c r="K144" s="2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145"/>
      <c r="C145" s="142" t="s">
        <v>87</v>
      </c>
      <c r="D145" s="143" t="s">
        <v>408</v>
      </c>
      <c r="E145" s="144" t="s">
        <v>409</v>
      </c>
      <c r="F145" s="9"/>
      <c r="G145" s="10"/>
      <c r="H145" s="28"/>
      <c r="I145" s="24"/>
      <c r="J145" s="24"/>
      <c r="K145" s="2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145"/>
      <c r="C146" s="142" t="s">
        <v>82</v>
      </c>
      <c r="D146" s="143" t="s">
        <v>410</v>
      </c>
      <c r="E146" s="144" t="s">
        <v>411</v>
      </c>
      <c r="F146" s="9"/>
      <c r="G146" s="10"/>
      <c r="H146" s="28"/>
      <c r="I146" s="24"/>
      <c r="J146" s="24"/>
      <c r="K146" s="2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148"/>
      <c r="C147" s="142" t="s">
        <v>92</v>
      </c>
      <c r="D147" s="143" t="s">
        <v>412</v>
      </c>
      <c r="E147" s="144" t="s">
        <v>413</v>
      </c>
      <c r="F147" s="9"/>
      <c r="G147" s="10"/>
      <c r="H147" s="28"/>
      <c r="I147" s="24"/>
      <c r="J147" s="24"/>
      <c r="K147" s="2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145" t="s">
        <v>94</v>
      </c>
      <c r="C148" s="142" t="s">
        <v>104</v>
      </c>
      <c r="D148" s="143" t="s">
        <v>414</v>
      </c>
      <c r="E148" s="144" t="s">
        <v>415</v>
      </c>
      <c r="F148" s="9"/>
      <c r="G148" s="10"/>
      <c r="H148" s="28"/>
      <c r="I148" s="24"/>
      <c r="J148" s="24"/>
      <c r="K148" s="2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145"/>
      <c r="C149" s="142" t="s">
        <v>109</v>
      </c>
      <c r="D149" s="143" t="s">
        <v>416</v>
      </c>
      <c r="E149" s="144" t="s">
        <v>417</v>
      </c>
      <c r="F149" s="9"/>
      <c r="G149" s="10"/>
      <c r="H149" s="28"/>
      <c r="I149" s="24"/>
      <c r="J149" s="24"/>
      <c r="K149" s="2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145"/>
      <c r="C150" s="142" t="s">
        <v>111</v>
      </c>
      <c r="D150" s="143" t="s">
        <v>418</v>
      </c>
      <c r="E150" s="144" t="s">
        <v>419</v>
      </c>
      <c r="F150" s="9"/>
      <c r="G150" s="10"/>
      <c r="H150" s="28"/>
      <c r="I150" s="24"/>
      <c r="J150" s="24"/>
      <c r="K150" s="2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145"/>
      <c r="C151" s="142" t="s">
        <v>115</v>
      </c>
      <c r="D151" s="143" t="s">
        <v>420</v>
      </c>
      <c r="E151" s="144" t="s">
        <v>421</v>
      </c>
      <c r="F151" s="9"/>
      <c r="G151" s="10"/>
      <c r="H151" s="28"/>
      <c r="I151" s="24"/>
      <c r="J151" s="24"/>
      <c r="K151" s="2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148"/>
      <c r="C152" s="142" t="s">
        <v>116</v>
      </c>
      <c r="D152" s="143" t="s">
        <v>422</v>
      </c>
      <c r="E152" s="144" t="s">
        <v>423</v>
      </c>
      <c r="F152" s="9"/>
      <c r="G152" s="10"/>
      <c r="H152" s="28"/>
      <c r="I152" s="24"/>
      <c r="J152" s="24"/>
      <c r="K152" s="2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145" t="s">
        <v>71</v>
      </c>
      <c r="C153" s="142" t="s">
        <v>424</v>
      </c>
      <c r="D153" s="143" t="s">
        <v>425</v>
      </c>
      <c r="E153" s="144" t="s">
        <v>426</v>
      </c>
      <c r="F153" s="9"/>
      <c r="G153" s="10"/>
      <c r="H153" s="28"/>
      <c r="I153" s="24"/>
      <c r="J153" s="24"/>
      <c r="K153" s="2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145"/>
      <c r="C154" s="142" t="s">
        <v>427</v>
      </c>
      <c r="D154" s="143" t="s">
        <v>428</v>
      </c>
      <c r="E154" s="144" t="s">
        <v>426</v>
      </c>
      <c r="F154" s="9"/>
      <c r="G154" s="10"/>
      <c r="H154" s="28"/>
      <c r="I154" s="24"/>
      <c r="J154" s="24"/>
      <c r="K154" s="2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145"/>
      <c r="C155" s="142" t="s">
        <v>429</v>
      </c>
      <c r="D155" s="143" t="s">
        <v>430</v>
      </c>
      <c r="E155" s="144" t="s">
        <v>426</v>
      </c>
      <c r="F155" s="9"/>
      <c r="G155" s="10"/>
      <c r="H155" s="28"/>
      <c r="I155" s="24"/>
      <c r="J155" s="24"/>
      <c r="K155" s="2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145"/>
      <c r="C156" s="142" t="s">
        <v>431</v>
      </c>
      <c r="D156" s="143" t="s">
        <v>432</v>
      </c>
      <c r="E156" s="144" t="s">
        <v>426</v>
      </c>
      <c r="F156" s="9"/>
      <c r="G156" s="10"/>
      <c r="H156" s="28"/>
      <c r="I156" s="24"/>
      <c r="J156" s="24"/>
      <c r="K156" s="2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145"/>
      <c r="C157" s="142" t="s">
        <v>277</v>
      </c>
      <c r="D157" s="143" t="s">
        <v>433</v>
      </c>
      <c r="E157" s="144" t="s">
        <v>426</v>
      </c>
      <c r="F157" s="9"/>
      <c r="G157" s="10"/>
      <c r="H157" s="28"/>
      <c r="I157" s="24"/>
      <c r="J157" s="24"/>
      <c r="K157" s="2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145"/>
      <c r="C158" s="142" t="s">
        <v>434</v>
      </c>
      <c r="D158" s="143" t="s">
        <v>435</v>
      </c>
      <c r="E158" s="144" t="s">
        <v>426</v>
      </c>
      <c r="F158" s="9"/>
      <c r="G158" s="10"/>
      <c r="H158" s="28"/>
      <c r="I158" s="24"/>
      <c r="J158" s="24"/>
      <c r="K158" s="2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148"/>
      <c r="C159" s="142" t="s">
        <v>436</v>
      </c>
      <c r="D159" s="143" t="s">
        <v>437</v>
      </c>
      <c r="E159" s="144" t="s">
        <v>426</v>
      </c>
      <c r="F159" s="9"/>
      <c r="G159" s="10"/>
      <c r="H159" s="28"/>
      <c r="I159" s="24"/>
      <c r="J159" s="24"/>
      <c r="K159" s="2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145" t="s">
        <v>72</v>
      </c>
      <c r="C160" s="142" t="s">
        <v>438</v>
      </c>
      <c r="D160" s="143" t="s">
        <v>439</v>
      </c>
      <c r="E160" s="144" t="s">
        <v>440</v>
      </c>
      <c r="F160" s="9"/>
      <c r="G160" s="10"/>
      <c r="H160" s="28"/>
      <c r="I160" s="24"/>
      <c r="J160" s="24"/>
      <c r="K160" s="2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148"/>
      <c r="C161" s="142" t="s">
        <v>281</v>
      </c>
      <c r="D161" s="143" t="s">
        <v>441</v>
      </c>
      <c r="E161" s="144" t="s">
        <v>442</v>
      </c>
      <c r="F161" s="9"/>
      <c r="G161" s="10"/>
      <c r="H161" s="28"/>
      <c r="I161" s="24"/>
      <c r="J161" s="24"/>
      <c r="K161" s="2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145" t="s">
        <v>340</v>
      </c>
      <c r="C162" s="142" t="s">
        <v>443</v>
      </c>
      <c r="D162" s="143" t="s">
        <v>444</v>
      </c>
      <c r="E162" s="144" t="s">
        <v>445</v>
      </c>
      <c r="F162" s="9"/>
      <c r="G162" s="10"/>
      <c r="H162" s="28"/>
      <c r="I162" s="24"/>
      <c r="J162" s="24"/>
      <c r="K162" s="2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145"/>
      <c r="C163" s="142" t="s">
        <v>343</v>
      </c>
      <c r="D163" s="143" t="s">
        <v>339</v>
      </c>
      <c r="E163" s="144" t="s">
        <v>446</v>
      </c>
      <c r="F163" s="9"/>
      <c r="G163" s="10"/>
      <c r="H163" s="28"/>
      <c r="I163" s="24"/>
      <c r="J163" s="24"/>
      <c r="K163" s="2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145"/>
      <c r="C164" s="142" t="s">
        <v>447</v>
      </c>
      <c r="D164" s="143" t="s">
        <v>448</v>
      </c>
      <c r="E164" s="144" t="s">
        <v>449</v>
      </c>
      <c r="F164" s="9"/>
      <c r="G164" s="10"/>
      <c r="H164" s="28"/>
      <c r="I164" s="24"/>
      <c r="J164" s="24"/>
      <c r="K164" s="2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145"/>
      <c r="C165" s="142" t="s">
        <v>450</v>
      </c>
      <c r="D165" s="143" t="s">
        <v>451</v>
      </c>
      <c r="E165" s="144" t="s">
        <v>452</v>
      </c>
      <c r="F165" s="9"/>
      <c r="G165" s="10"/>
      <c r="H165" s="28"/>
      <c r="I165" s="24"/>
      <c r="J165" s="24"/>
      <c r="K165" s="2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145"/>
      <c r="C166" s="142" t="s">
        <v>453</v>
      </c>
      <c r="D166" s="143" t="s">
        <v>454</v>
      </c>
      <c r="E166" s="144" t="s">
        <v>455</v>
      </c>
      <c r="F166" s="9"/>
      <c r="G166" s="10"/>
      <c r="H166" s="28"/>
      <c r="I166" s="24"/>
      <c r="J166" s="24"/>
      <c r="K166" s="2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145"/>
      <c r="C167" s="142" t="s">
        <v>456</v>
      </c>
      <c r="D167" s="143" t="s">
        <v>457</v>
      </c>
      <c r="E167" s="144" t="s">
        <v>458</v>
      </c>
      <c r="F167" s="9"/>
      <c r="G167" s="10"/>
      <c r="H167" s="28"/>
      <c r="I167" s="24"/>
      <c r="J167" s="24"/>
      <c r="K167" s="2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145"/>
      <c r="C168" s="142" t="s">
        <v>459</v>
      </c>
      <c r="D168" s="143" t="s">
        <v>460</v>
      </c>
      <c r="E168" s="144" t="s">
        <v>461</v>
      </c>
      <c r="F168" s="9"/>
      <c r="G168" s="10"/>
      <c r="H168" s="28"/>
      <c r="I168" s="24"/>
      <c r="J168" s="24"/>
      <c r="K168" s="2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145"/>
      <c r="C169" s="142" t="s">
        <v>462</v>
      </c>
      <c r="D169" s="143" t="s">
        <v>463</v>
      </c>
      <c r="E169" s="144" t="s">
        <v>464</v>
      </c>
      <c r="F169" s="9"/>
      <c r="G169" s="10"/>
      <c r="H169" s="28"/>
      <c r="I169" s="24"/>
      <c r="J169" s="24"/>
      <c r="K169" s="2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145"/>
      <c r="C170" s="142" t="s">
        <v>465</v>
      </c>
      <c r="D170" s="143" t="s">
        <v>466</v>
      </c>
      <c r="E170" s="144" t="s">
        <v>467</v>
      </c>
      <c r="F170" s="9"/>
      <c r="G170" s="10"/>
      <c r="H170" s="28"/>
      <c r="I170" s="24"/>
      <c r="J170" s="24"/>
      <c r="K170" s="2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145"/>
      <c r="C171" s="142" t="s">
        <v>468</v>
      </c>
      <c r="D171" s="143" t="s">
        <v>469</v>
      </c>
      <c r="E171" s="144" t="s">
        <v>470</v>
      </c>
      <c r="F171" s="9"/>
      <c r="G171" s="10"/>
      <c r="H171" s="28"/>
      <c r="I171" s="24"/>
      <c r="J171" s="24"/>
      <c r="K171" s="2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145"/>
      <c r="C172" s="142" t="s">
        <v>471</v>
      </c>
      <c r="D172" s="143" t="s">
        <v>472</v>
      </c>
      <c r="E172" s="144" t="s">
        <v>473</v>
      </c>
      <c r="F172" s="9"/>
      <c r="G172" s="10"/>
      <c r="H172" s="28"/>
      <c r="I172" s="24"/>
      <c r="J172" s="24"/>
      <c r="K172" s="2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148"/>
      <c r="C173" s="142" t="s">
        <v>474</v>
      </c>
      <c r="D173" s="143" t="s">
        <v>475</v>
      </c>
      <c r="E173" s="144" t="s">
        <v>476</v>
      </c>
      <c r="F173" s="9"/>
      <c r="G173" s="10"/>
      <c r="H173" s="28"/>
      <c r="I173" s="24"/>
      <c r="J173" s="24"/>
      <c r="K173" s="2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145" t="s">
        <v>316</v>
      </c>
      <c r="C174" s="142" t="s">
        <v>477</v>
      </c>
      <c r="D174" s="143" t="s">
        <v>478</v>
      </c>
      <c r="E174" s="144" t="s">
        <v>479</v>
      </c>
      <c r="F174" s="9"/>
      <c r="G174" s="10"/>
      <c r="H174" s="28"/>
      <c r="I174" s="24"/>
      <c r="J174" s="24"/>
      <c r="K174" s="2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145"/>
      <c r="C175" s="142" t="s">
        <v>319</v>
      </c>
      <c r="D175" s="143" t="s">
        <v>480</v>
      </c>
      <c r="E175" s="144" t="s">
        <v>481</v>
      </c>
      <c r="F175" s="9"/>
      <c r="G175" s="10"/>
      <c r="H175" s="28"/>
      <c r="I175" s="24"/>
      <c r="J175" s="24"/>
      <c r="K175" s="2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145"/>
      <c r="C176" s="142" t="s">
        <v>482</v>
      </c>
      <c r="D176" s="143" t="s">
        <v>483</v>
      </c>
      <c r="E176" s="144" t="s">
        <v>484</v>
      </c>
      <c r="F176" s="9"/>
      <c r="G176" s="10"/>
      <c r="H176" s="28"/>
      <c r="I176" s="24"/>
      <c r="J176" s="24"/>
      <c r="K176" s="2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145"/>
      <c r="C177" s="142" t="s">
        <v>397</v>
      </c>
      <c r="D177" s="143" t="s">
        <v>485</v>
      </c>
      <c r="E177" s="144" t="s">
        <v>486</v>
      </c>
      <c r="F177" s="9"/>
      <c r="G177" s="10"/>
      <c r="H177" s="28"/>
      <c r="I177" s="24"/>
      <c r="J177" s="24"/>
      <c r="K177" s="2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145"/>
      <c r="C178" s="142" t="s">
        <v>487</v>
      </c>
      <c r="D178" s="143" t="s">
        <v>488</v>
      </c>
      <c r="E178" s="144" t="s">
        <v>489</v>
      </c>
      <c r="F178" s="9"/>
      <c r="G178" s="10"/>
      <c r="H178" s="28"/>
      <c r="I178" s="24"/>
      <c r="J178" s="24"/>
      <c r="K178" s="2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145"/>
      <c r="C179" s="142" t="s">
        <v>490</v>
      </c>
      <c r="D179" s="143" t="s">
        <v>491</v>
      </c>
      <c r="E179" s="144" t="s">
        <v>492</v>
      </c>
      <c r="F179" s="9"/>
      <c r="G179" s="10"/>
      <c r="H179" s="28"/>
      <c r="I179" s="24"/>
      <c r="J179" s="24"/>
      <c r="K179" s="2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148"/>
      <c r="C180" s="142" t="s">
        <v>55</v>
      </c>
      <c r="D180" s="143" t="s">
        <v>365</v>
      </c>
      <c r="E180" s="144" t="s">
        <v>493</v>
      </c>
      <c r="F180" s="9"/>
      <c r="G180" s="10"/>
      <c r="H180" s="28"/>
      <c r="I180" s="24"/>
      <c r="J180" s="24"/>
      <c r="K180" s="2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7"/>
      <c r="G181" s="5"/>
      <c r="H181" s="28"/>
      <c r="I181" s="24"/>
      <c r="J181" s="24"/>
      <c r="K181" s="2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7"/>
      <c r="G182" s="5"/>
      <c r="H182" s="28"/>
      <c r="I182" s="24"/>
      <c r="J182" s="24"/>
      <c r="K182" s="2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7"/>
      <c r="G183" s="5"/>
      <c r="H183" s="28"/>
      <c r="I183" s="24"/>
      <c r="J183" s="24"/>
      <c r="K183" s="2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7"/>
      <c r="G184" s="5"/>
      <c r="H184" s="28"/>
      <c r="I184" s="24"/>
      <c r="J184" s="24"/>
      <c r="K184" s="2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7"/>
      <c r="G185" s="5"/>
      <c r="H185" s="28"/>
      <c r="I185" s="24"/>
      <c r="J185" s="24"/>
      <c r="K185" s="2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7"/>
      <c r="G186" s="5"/>
      <c r="H186" s="28"/>
      <c r="I186" s="24"/>
      <c r="J186" s="24"/>
      <c r="K186" s="2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7"/>
      <c r="G187" s="5"/>
      <c r="H187" s="28"/>
      <c r="I187" s="24"/>
      <c r="J187" s="24"/>
      <c r="K187" s="2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7"/>
      <c r="G188" s="5"/>
      <c r="H188" s="28"/>
      <c r="I188" s="24"/>
      <c r="J188" s="24"/>
      <c r="K188" s="2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7"/>
      <c r="G189" s="5"/>
      <c r="H189" s="28"/>
      <c r="I189" s="24"/>
      <c r="J189" s="24"/>
      <c r="K189" s="2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7"/>
      <c r="G190" s="5"/>
      <c r="H190" s="28"/>
      <c r="I190" s="24"/>
      <c r="J190" s="24"/>
      <c r="K190" s="2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7"/>
      <c r="G191" s="5"/>
      <c r="H191" s="28"/>
      <c r="I191" s="24"/>
      <c r="J191" s="24"/>
      <c r="K191" s="2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7"/>
      <c r="G192" s="5"/>
      <c r="H192" s="28"/>
      <c r="I192" s="24"/>
      <c r="J192" s="24"/>
      <c r="K192" s="2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7"/>
      <c r="G193" s="5"/>
      <c r="H193" s="28"/>
      <c r="I193" s="24"/>
      <c r="J193" s="24"/>
      <c r="K193" s="2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7"/>
      <c r="G194" s="5"/>
      <c r="H194" s="28"/>
      <c r="I194" s="24"/>
      <c r="J194" s="24"/>
      <c r="K194" s="2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7"/>
      <c r="G195" s="5"/>
      <c r="H195" s="28"/>
      <c r="I195" s="24"/>
      <c r="J195" s="24"/>
      <c r="K195" s="2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7"/>
      <c r="G196" s="5"/>
      <c r="H196" s="28"/>
      <c r="I196" s="24"/>
      <c r="J196" s="24"/>
      <c r="K196" s="2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7"/>
      <c r="G197" s="5"/>
      <c r="H197" s="28"/>
      <c r="I197" s="24"/>
      <c r="J197" s="24"/>
      <c r="K197" s="2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7"/>
      <c r="G198" s="5"/>
      <c r="H198" s="28"/>
      <c r="I198" s="24"/>
      <c r="J198" s="24"/>
      <c r="K198" s="2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7"/>
      <c r="G199" s="5"/>
      <c r="H199" s="28"/>
      <c r="I199" s="24"/>
      <c r="J199" s="24"/>
      <c r="K199" s="2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7"/>
      <c r="G200" s="5"/>
      <c r="H200" s="28"/>
      <c r="I200" s="24"/>
      <c r="J200" s="24"/>
      <c r="K200" s="2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7"/>
      <c r="G201" s="5"/>
      <c r="H201" s="28"/>
      <c r="I201" s="24"/>
      <c r="J201" s="24"/>
      <c r="K201" s="2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7"/>
      <c r="G202" s="5"/>
      <c r="H202" s="28"/>
      <c r="I202" s="24"/>
      <c r="J202" s="24"/>
      <c r="K202" s="2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7"/>
      <c r="G203" s="5"/>
      <c r="H203" s="28"/>
      <c r="I203" s="24"/>
      <c r="J203" s="24"/>
      <c r="K203" s="2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7"/>
      <c r="G204" s="5"/>
      <c r="H204" s="28"/>
      <c r="I204" s="24"/>
      <c r="J204" s="24"/>
      <c r="K204" s="2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7"/>
      <c r="G205" s="5"/>
      <c r="H205" s="28"/>
      <c r="I205" s="24"/>
      <c r="J205" s="24"/>
      <c r="K205" s="2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7"/>
      <c r="G206" s="5"/>
      <c r="H206" s="28"/>
      <c r="I206" s="24"/>
      <c r="J206" s="24"/>
      <c r="K206" s="2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7"/>
      <c r="G207" s="5"/>
      <c r="H207" s="28"/>
      <c r="I207" s="24"/>
      <c r="J207" s="24"/>
      <c r="K207" s="2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7"/>
      <c r="G208" s="5"/>
      <c r="H208" s="28"/>
      <c r="I208" s="24"/>
      <c r="J208" s="24"/>
      <c r="K208" s="2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7"/>
      <c r="G209" s="5"/>
      <c r="H209" s="28"/>
      <c r="I209" s="24"/>
      <c r="J209" s="24"/>
      <c r="K209" s="2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7"/>
      <c r="G210" s="5"/>
      <c r="H210" s="28"/>
      <c r="I210" s="24"/>
      <c r="J210" s="24"/>
      <c r="K210" s="2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7"/>
      <c r="G211" s="5"/>
      <c r="H211" s="28"/>
      <c r="I211" s="24"/>
      <c r="J211" s="24"/>
      <c r="K211" s="2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7"/>
      <c r="G212" s="5"/>
      <c r="H212" s="28"/>
      <c r="I212" s="24"/>
      <c r="J212" s="24"/>
      <c r="K212" s="2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7"/>
      <c r="G213" s="5"/>
      <c r="H213" s="28"/>
      <c r="I213" s="24"/>
      <c r="J213" s="24"/>
      <c r="K213" s="2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7"/>
      <c r="G214" s="5"/>
      <c r="H214" s="28"/>
      <c r="I214" s="24"/>
      <c r="J214" s="24"/>
      <c r="K214" s="2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7"/>
      <c r="G215" s="5"/>
      <c r="H215" s="28"/>
      <c r="I215" s="24"/>
      <c r="J215" s="24"/>
      <c r="K215" s="2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7"/>
      <c r="G216" s="5"/>
      <c r="H216" s="28"/>
      <c r="I216" s="24"/>
      <c r="J216" s="24"/>
      <c r="K216" s="2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7"/>
      <c r="G217" s="5"/>
      <c r="H217" s="28"/>
      <c r="I217" s="24"/>
      <c r="J217" s="24"/>
      <c r="K217" s="2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7"/>
      <c r="G218" s="5"/>
      <c r="H218" s="28"/>
      <c r="I218" s="24"/>
      <c r="J218" s="24"/>
      <c r="K218" s="2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7"/>
      <c r="G219" s="5"/>
      <c r="H219" s="28"/>
      <c r="I219" s="24"/>
      <c r="J219" s="24"/>
      <c r="K219" s="2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7"/>
      <c r="G220" s="5"/>
      <c r="H220" s="28"/>
      <c r="I220" s="24"/>
      <c r="J220" s="24"/>
      <c r="K220" s="2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7"/>
      <c r="G221" s="5"/>
      <c r="H221" s="28"/>
      <c r="I221" s="24"/>
      <c r="J221" s="24"/>
      <c r="K221" s="2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7"/>
      <c r="G222" s="5"/>
      <c r="H222" s="28"/>
      <c r="I222" s="24"/>
      <c r="J222" s="24"/>
      <c r="K222" s="2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7"/>
      <c r="G223" s="5"/>
      <c r="H223" s="28"/>
      <c r="I223" s="24"/>
      <c r="J223" s="24"/>
      <c r="K223" s="2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7"/>
      <c r="G224" s="5"/>
      <c r="H224" s="28"/>
      <c r="I224" s="24"/>
      <c r="J224" s="24"/>
      <c r="K224" s="2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7"/>
      <c r="G225" s="5"/>
      <c r="H225" s="28"/>
      <c r="I225" s="24"/>
      <c r="J225" s="24"/>
      <c r="K225" s="2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7"/>
      <c r="G226" s="5"/>
      <c r="H226" s="28"/>
      <c r="I226" s="24"/>
      <c r="J226" s="24"/>
      <c r="K226" s="2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7"/>
      <c r="G227" s="5"/>
      <c r="H227" s="28"/>
      <c r="I227" s="24"/>
      <c r="J227" s="24"/>
      <c r="K227" s="2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7"/>
      <c r="G228" s="5"/>
      <c r="H228" s="28"/>
      <c r="I228" s="24"/>
      <c r="J228" s="24"/>
      <c r="K228" s="2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7"/>
      <c r="G229" s="5"/>
      <c r="H229" s="28"/>
      <c r="I229" s="24"/>
      <c r="J229" s="24"/>
      <c r="K229" s="2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7"/>
      <c r="G230" s="5"/>
      <c r="H230" s="28"/>
      <c r="I230" s="24"/>
      <c r="J230" s="24"/>
      <c r="K230" s="2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7"/>
      <c r="G231" s="5"/>
      <c r="H231" s="28"/>
      <c r="I231" s="24"/>
      <c r="J231" s="24"/>
      <c r="K231" s="2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7"/>
      <c r="G232" s="5"/>
      <c r="H232" s="28"/>
      <c r="I232" s="24"/>
      <c r="J232" s="24"/>
      <c r="K232" s="2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7"/>
      <c r="G233" s="5"/>
      <c r="H233" s="28"/>
      <c r="I233" s="24"/>
      <c r="J233" s="24"/>
      <c r="K233" s="2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7"/>
      <c r="G234" s="5"/>
      <c r="H234" s="28"/>
      <c r="I234" s="24"/>
      <c r="J234" s="24"/>
      <c r="K234" s="2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7"/>
      <c r="G235" s="5"/>
      <c r="H235" s="28"/>
      <c r="I235" s="24"/>
      <c r="J235" s="24"/>
      <c r="K235" s="2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7"/>
      <c r="G236" s="5"/>
      <c r="H236" s="28"/>
      <c r="I236" s="24"/>
      <c r="J236" s="24"/>
      <c r="K236" s="2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7"/>
      <c r="G237" s="5"/>
      <c r="H237" s="28"/>
      <c r="I237" s="24"/>
      <c r="J237" s="24"/>
      <c r="K237" s="2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7"/>
      <c r="G238" s="5"/>
      <c r="H238" s="28"/>
      <c r="I238" s="24"/>
      <c r="J238" s="24"/>
      <c r="K238" s="2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7"/>
      <c r="G239" s="5"/>
      <c r="H239" s="28"/>
      <c r="I239" s="24"/>
      <c r="J239" s="24"/>
      <c r="K239" s="2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7"/>
      <c r="G240" s="5"/>
      <c r="H240" s="28"/>
      <c r="I240" s="24"/>
      <c r="J240" s="24"/>
      <c r="K240" s="2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7"/>
      <c r="G241" s="5"/>
      <c r="H241" s="28"/>
      <c r="I241" s="24"/>
      <c r="J241" s="24"/>
      <c r="K241" s="2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7"/>
      <c r="G242" s="5"/>
      <c r="H242" s="28"/>
      <c r="I242" s="24"/>
      <c r="J242" s="24"/>
      <c r="K242" s="2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7"/>
      <c r="G243" s="5"/>
      <c r="H243" s="28"/>
      <c r="I243" s="24"/>
      <c r="J243" s="24"/>
      <c r="K243" s="2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7"/>
      <c r="G244" s="5"/>
      <c r="H244" s="28"/>
      <c r="I244" s="24"/>
      <c r="J244" s="24"/>
      <c r="K244" s="2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7"/>
      <c r="G245" s="5"/>
      <c r="H245" s="28"/>
      <c r="I245" s="24"/>
      <c r="J245" s="24"/>
      <c r="K245" s="2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7"/>
      <c r="G246" s="5"/>
      <c r="H246" s="28"/>
      <c r="I246" s="24"/>
      <c r="J246" s="24"/>
      <c r="K246" s="2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7"/>
      <c r="G247" s="5"/>
      <c r="H247" s="28"/>
      <c r="I247" s="24"/>
      <c r="J247" s="24"/>
      <c r="K247" s="2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7"/>
      <c r="G248" s="5"/>
      <c r="H248" s="28"/>
      <c r="I248" s="24"/>
      <c r="J248" s="24"/>
      <c r="K248" s="2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7"/>
      <c r="G249" s="5"/>
      <c r="H249" s="28"/>
      <c r="I249" s="24"/>
      <c r="J249" s="24"/>
      <c r="K249" s="2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7"/>
      <c r="G250" s="5"/>
      <c r="H250" s="28"/>
      <c r="I250" s="24"/>
      <c r="J250" s="24"/>
      <c r="K250" s="2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7"/>
      <c r="G251" s="5"/>
      <c r="H251" s="28"/>
      <c r="I251" s="24"/>
      <c r="J251" s="24"/>
      <c r="K251" s="2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7"/>
      <c r="G252" s="5"/>
      <c r="H252" s="28"/>
      <c r="I252" s="24"/>
      <c r="J252" s="24"/>
      <c r="K252" s="2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7"/>
      <c r="G253" s="5"/>
      <c r="H253" s="28"/>
      <c r="I253" s="24"/>
      <c r="J253" s="24"/>
      <c r="K253" s="2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7"/>
      <c r="G254" s="5"/>
      <c r="H254" s="28"/>
      <c r="I254" s="24"/>
      <c r="J254" s="24"/>
      <c r="K254" s="2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7"/>
      <c r="G255" s="5"/>
      <c r="H255" s="28"/>
      <c r="I255" s="24"/>
      <c r="J255" s="24"/>
      <c r="K255" s="2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7"/>
      <c r="G256" s="5"/>
      <c r="H256" s="28"/>
      <c r="I256" s="24"/>
      <c r="J256" s="24"/>
      <c r="K256" s="2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7"/>
      <c r="G257" s="5"/>
      <c r="H257" s="28"/>
      <c r="I257" s="24"/>
      <c r="J257" s="24"/>
      <c r="K257" s="2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7"/>
      <c r="G258" s="5"/>
      <c r="H258" s="28"/>
      <c r="I258" s="24"/>
      <c r="J258" s="24"/>
      <c r="K258" s="2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7"/>
      <c r="G259" s="5"/>
      <c r="H259" s="28"/>
      <c r="I259" s="24"/>
      <c r="J259" s="24"/>
      <c r="K259" s="2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7"/>
      <c r="G260" s="5"/>
      <c r="H260" s="28"/>
      <c r="I260" s="24"/>
      <c r="J260" s="24"/>
      <c r="K260" s="2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7"/>
      <c r="G261" s="5"/>
      <c r="H261" s="28"/>
      <c r="I261" s="24"/>
      <c r="J261" s="24"/>
      <c r="K261" s="2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7"/>
      <c r="G262" s="5"/>
      <c r="H262" s="28"/>
      <c r="I262" s="24"/>
      <c r="J262" s="24"/>
      <c r="K262" s="2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7"/>
      <c r="G263" s="5"/>
      <c r="H263" s="28"/>
      <c r="I263" s="24"/>
      <c r="J263" s="24"/>
      <c r="K263" s="2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7"/>
      <c r="G264" s="5"/>
      <c r="H264" s="28"/>
      <c r="I264" s="24"/>
      <c r="J264" s="24"/>
      <c r="K264" s="2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7"/>
      <c r="G265" s="5"/>
      <c r="H265" s="28"/>
      <c r="I265" s="24"/>
      <c r="J265" s="24"/>
      <c r="K265" s="2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7"/>
      <c r="G266" s="5"/>
      <c r="H266" s="28"/>
      <c r="I266" s="24"/>
      <c r="J266" s="24"/>
      <c r="K266" s="2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7"/>
      <c r="G267" s="5"/>
      <c r="H267" s="28"/>
      <c r="I267" s="24"/>
      <c r="J267" s="24"/>
      <c r="K267" s="2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7"/>
      <c r="G268" s="5"/>
      <c r="H268" s="28"/>
      <c r="I268" s="24"/>
      <c r="J268" s="24"/>
      <c r="K268" s="2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7"/>
      <c r="G269" s="5"/>
      <c r="H269" s="28"/>
      <c r="I269" s="24"/>
      <c r="J269" s="24"/>
      <c r="K269" s="2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7"/>
      <c r="G270" s="5"/>
      <c r="H270" s="28"/>
      <c r="I270" s="24"/>
      <c r="J270" s="24"/>
      <c r="K270" s="2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7"/>
      <c r="G271" s="5"/>
      <c r="H271" s="28"/>
      <c r="I271" s="24"/>
      <c r="J271" s="24"/>
      <c r="K271" s="2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7"/>
      <c r="G272" s="5"/>
      <c r="H272" s="28"/>
      <c r="I272" s="24"/>
      <c r="J272" s="24"/>
      <c r="K272" s="2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7"/>
      <c r="G273" s="5"/>
      <c r="H273" s="28"/>
      <c r="I273" s="24"/>
      <c r="J273" s="24"/>
      <c r="K273" s="2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7"/>
      <c r="G274" s="5"/>
      <c r="H274" s="28"/>
      <c r="I274" s="24"/>
      <c r="J274" s="24"/>
      <c r="K274" s="2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7"/>
      <c r="G275" s="5"/>
      <c r="H275" s="28"/>
      <c r="I275" s="24"/>
      <c r="J275" s="24"/>
      <c r="K275" s="2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7"/>
      <c r="G276" s="5"/>
      <c r="H276" s="28"/>
      <c r="I276" s="24"/>
      <c r="J276" s="24"/>
      <c r="K276" s="2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7"/>
      <c r="G277" s="5"/>
      <c r="H277" s="28"/>
      <c r="I277" s="24"/>
      <c r="J277" s="24"/>
      <c r="K277" s="2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7"/>
      <c r="G278" s="5"/>
      <c r="H278" s="28"/>
      <c r="I278" s="24"/>
      <c r="J278" s="24"/>
      <c r="K278" s="2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7"/>
      <c r="G279" s="5"/>
      <c r="H279" s="28"/>
      <c r="I279" s="24"/>
      <c r="J279" s="24"/>
      <c r="K279" s="2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7"/>
      <c r="G280" s="5"/>
      <c r="H280" s="28"/>
      <c r="I280" s="24"/>
      <c r="J280" s="24"/>
      <c r="K280" s="2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7"/>
      <c r="G281" s="5"/>
      <c r="H281" s="28"/>
      <c r="I281" s="24"/>
      <c r="J281" s="24"/>
      <c r="K281" s="2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7"/>
      <c r="G282" s="5"/>
      <c r="H282" s="28"/>
      <c r="I282" s="24"/>
      <c r="J282" s="24"/>
      <c r="K282" s="2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7"/>
      <c r="G283" s="5"/>
      <c r="H283" s="28"/>
      <c r="I283" s="24"/>
      <c r="J283" s="24"/>
      <c r="K283" s="2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7"/>
      <c r="G284" s="5"/>
      <c r="H284" s="28"/>
      <c r="I284" s="24"/>
      <c r="J284" s="24"/>
      <c r="K284" s="2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7"/>
      <c r="G285" s="5"/>
      <c r="H285" s="28"/>
      <c r="I285" s="24"/>
      <c r="J285" s="24"/>
      <c r="K285" s="2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7"/>
      <c r="G286" s="5"/>
      <c r="H286" s="28"/>
      <c r="I286" s="24"/>
      <c r="J286" s="24"/>
      <c r="K286" s="2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7"/>
      <c r="G287" s="5"/>
      <c r="H287" s="28"/>
      <c r="I287" s="24"/>
      <c r="J287" s="24"/>
      <c r="K287" s="2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7"/>
      <c r="G288" s="5"/>
      <c r="H288" s="28"/>
      <c r="I288" s="24"/>
      <c r="J288" s="24"/>
      <c r="K288" s="2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7"/>
      <c r="G289" s="5"/>
      <c r="H289" s="28"/>
      <c r="I289" s="24"/>
      <c r="J289" s="24"/>
      <c r="K289" s="2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7"/>
      <c r="G290" s="5"/>
      <c r="H290" s="28"/>
      <c r="I290" s="24"/>
      <c r="J290" s="24"/>
      <c r="K290" s="2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7"/>
      <c r="G291" s="5"/>
      <c r="H291" s="28"/>
      <c r="I291" s="24"/>
      <c r="J291" s="24"/>
      <c r="K291" s="2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7"/>
      <c r="G292" s="5"/>
      <c r="H292" s="28"/>
      <c r="I292" s="24"/>
      <c r="J292" s="24"/>
      <c r="K292" s="2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7"/>
      <c r="G293" s="5"/>
      <c r="H293" s="28"/>
      <c r="I293" s="24"/>
      <c r="J293" s="24"/>
      <c r="K293" s="2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7"/>
      <c r="G294" s="5"/>
      <c r="H294" s="28"/>
      <c r="I294" s="24"/>
      <c r="J294" s="24"/>
      <c r="K294" s="2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7"/>
      <c r="G295" s="5"/>
      <c r="H295" s="28"/>
      <c r="I295" s="24"/>
      <c r="J295" s="24"/>
      <c r="K295" s="2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7"/>
      <c r="G296" s="5"/>
      <c r="H296" s="28"/>
      <c r="I296" s="24"/>
      <c r="J296" s="24"/>
      <c r="K296" s="2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7"/>
      <c r="G297" s="5"/>
      <c r="H297" s="28"/>
      <c r="I297" s="24"/>
      <c r="J297" s="24"/>
      <c r="K297" s="2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7"/>
      <c r="G298" s="5"/>
      <c r="H298" s="28"/>
      <c r="I298" s="24"/>
      <c r="J298" s="24"/>
      <c r="K298" s="2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7"/>
      <c r="G299" s="5"/>
      <c r="H299" s="28"/>
      <c r="I299" s="24"/>
      <c r="J299" s="24"/>
      <c r="K299" s="2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7"/>
      <c r="G300" s="5"/>
      <c r="H300" s="28"/>
      <c r="I300" s="24"/>
      <c r="J300" s="24"/>
      <c r="K300" s="2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7"/>
      <c r="G301" s="5"/>
      <c r="H301" s="28"/>
      <c r="I301" s="24"/>
      <c r="J301" s="24"/>
      <c r="K301" s="2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7"/>
      <c r="G302" s="5"/>
      <c r="H302" s="28"/>
      <c r="I302" s="24"/>
      <c r="J302" s="24"/>
      <c r="K302" s="2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7"/>
      <c r="G303" s="5"/>
      <c r="H303" s="28"/>
      <c r="I303" s="24"/>
      <c r="J303" s="24"/>
      <c r="K303" s="2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7"/>
      <c r="G304" s="5"/>
      <c r="H304" s="28"/>
      <c r="I304" s="24"/>
      <c r="J304" s="24"/>
      <c r="K304" s="2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7"/>
      <c r="G305" s="5"/>
      <c r="H305" s="28"/>
      <c r="I305" s="24"/>
      <c r="J305" s="24"/>
      <c r="K305" s="2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7"/>
      <c r="G306" s="5"/>
      <c r="H306" s="28"/>
      <c r="I306" s="24"/>
      <c r="J306" s="24"/>
      <c r="K306" s="2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7"/>
      <c r="G307" s="5"/>
      <c r="H307" s="28"/>
      <c r="I307" s="24"/>
      <c r="J307" s="24"/>
      <c r="K307" s="2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7"/>
      <c r="G308" s="5"/>
      <c r="H308" s="28"/>
      <c r="I308" s="24"/>
      <c r="J308" s="24"/>
      <c r="K308" s="2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7"/>
      <c r="G309" s="5"/>
      <c r="H309" s="28"/>
      <c r="I309" s="24"/>
      <c r="J309" s="24"/>
      <c r="K309" s="2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7"/>
      <c r="G310" s="5"/>
      <c r="H310" s="28"/>
      <c r="I310" s="24"/>
      <c r="J310" s="24"/>
      <c r="K310" s="2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7"/>
      <c r="G311" s="5"/>
      <c r="H311" s="28"/>
      <c r="I311" s="24"/>
      <c r="J311" s="24"/>
      <c r="K311" s="2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7"/>
      <c r="G312" s="5"/>
      <c r="H312" s="28"/>
      <c r="I312" s="24"/>
      <c r="J312" s="24"/>
      <c r="K312" s="2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7"/>
      <c r="G313" s="5"/>
      <c r="H313" s="28"/>
      <c r="I313" s="24"/>
      <c r="J313" s="24"/>
      <c r="K313" s="2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7"/>
      <c r="G314" s="5"/>
      <c r="H314" s="28"/>
      <c r="I314" s="24"/>
      <c r="J314" s="24"/>
      <c r="K314" s="2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7"/>
      <c r="G315" s="5"/>
      <c r="H315" s="28"/>
      <c r="I315" s="24"/>
      <c r="J315" s="24"/>
      <c r="K315" s="2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7"/>
      <c r="G316" s="5"/>
      <c r="H316" s="28"/>
      <c r="I316" s="24"/>
      <c r="J316" s="24"/>
      <c r="K316" s="2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7"/>
      <c r="G317" s="5"/>
      <c r="H317" s="28"/>
      <c r="I317" s="24"/>
      <c r="J317" s="24"/>
      <c r="K317" s="2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7"/>
      <c r="G318" s="5"/>
      <c r="H318" s="28"/>
      <c r="I318" s="24"/>
      <c r="J318" s="24"/>
      <c r="K318" s="2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7"/>
      <c r="G319" s="5"/>
      <c r="H319" s="28"/>
      <c r="I319" s="24"/>
      <c r="J319" s="24"/>
      <c r="K319" s="2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7"/>
      <c r="G320" s="5"/>
      <c r="H320" s="28"/>
      <c r="I320" s="24"/>
      <c r="J320" s="24"/>
      <c r="K320" s="2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7"/>
      <c r="G321" s="5"/>
      <c r="H321" s="28"/>
      <c r="I321" s="24"/>
      <c r="J321" s="24"/>
      <c r="K321" s="2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7"/>
      <c r="G322" s="5"/>
      <c r="H322" s="28"/>
      <c r="I322" s="24"/>
      <c r="J322" s="24"/>
      <c r="K322" s="2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7"/>
      <c r="G323" s="5"/>
      <c r="H323" s="28"/>
      <c r="I323" s="24"/>
      <c r="J323" s="24"/>
      <c r="K323" s="2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7"/>
      <c r="G324" s="5"/>
      <c r="H324" s="28"/>
      <c r="I324" s="24"/>
      <c r="J324" s="24"/>
      <c r="K324" s="2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7"/>
      <c r="G325" s="5"/>
      <c r="H325" s="28"/>
      <c r="I325" s="24"/>
      <c r="J325" s="24"/>
      <c r="K325" s="2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7"/>
      <c r="G326" s="5"/>
      <c r="H326" s="28"/>
      <c r="I326" s="24"/>
      <c r="J326" s="24"/>
      <c r="K326" s="2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7"/>
      <c r="G327" s="5"/>
      <c r="H327" s="28"/>
      <c r="I327" s="24"/>
      <c r="J327" s="24"/>
      <c r="K327" s="2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7"/>
      <c r="G328" s="5"/>
      <c r="H328" s="28"/>
      <c r="I328" s="24"/>
      <c r="J328" s="24"/>
      <c r="K328" s="2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7"/>
      <c r="G329" s="5"/>
      <c r="H329" s="28"/>
      <c r="I329" s="24"/>
      <c r="J329" s="24"/>
      <c r="K329" s="2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7"/>
      <c r="G330" s="5"/>
      <c r="H330" s="28"/>
      <c r="I330" s="24"/>
      <c r="J330" s="24"/>
      <c r="K330" s="2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7"/>
      <c r="G331" s="5"/>
      <c r="H331" s="28"/>
      <c r="I331" s="24"/>
      <c r="J331" s="24"/>
      <c r="K331" s="2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7"/>
      <c r="G332" s="5"/>
      <c r="H332" s="28"/>
      <c r="I332" s="24"/>
      <c r="J332" s="24"/>
      <c r="K332" s="2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7"/>
      <c r="G333" s="5"/>
      <c r="H333" s="28"/>
      <c r="I333" s="24"/>
      <c r="J333" s="24"/>
      <c r="K333" s="2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7"/>
      <c r="G334" s="5"/>
      <c r="H334" s="28"/>
      <c r="I334" s="24"/>
      <c r="J334" s="24"/>
      <c r="K334" s="2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7"/>
      <c r="G335" s="5"/>
      <c r="H335" s="28"/>
      <c r="I335" s="24"/>
      <c r="J335" s="24"/>
      <c r="K335" s="2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7"/>
      <c r="G336" s="5"/>
      <c r="H336" s="28"/>
      <c r="I336" s="24"/>
      <c r="J336" s="24"/>
      <c r="K336" s="2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7"/>
      <c r="G337" s="5"/>
      <c r="H337" s="28"/>
      <c r="I337" s="24"/>
      <c r="J337" s="24"/>
      <c r="K337" s="2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7"/>
      <c r="G338" s="5"/>
      <c r="H338" s="28"/>
      <c r="I338" s="24"/>
      <c r="J338" s="24"/>
      <c r="K338" s="2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7"/>
      <c r="G339" s="5"/>
      <c r="H339" s="28"/>
      <c r="I339" s="24"/>
      <c r="J339" s="24"/>
      <c r="K339" s="2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7"/>
      <c r="G340" s="5"/>
      <c r="H340" s="28"/>
      <c r="I340" s="24"/>
      <c r="J340" s="24"/>
      <c r="K340" s="2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7"/>
      <c r="G341" s="5"/>
      <c r="H341" s="28"/>
      <c r="I341" s="24"/>
      <c r="J341" s="24"/>
      <c r="K341" s="2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7"/>
      <c r="G342" s="5"/>
      <c r="H342" s="28"/>
      <c r="I342" s="24"/>
      <c r="J342" s="24"/>
      <c r="K342" s="2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7"/>
      <c r="G343" s="5"/>
      <c r="H343" s="28"/>
      <c r="I343" s="24"/>
      <c r="J343" s="24"/>
      <c r="K343" s="2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7"/>
      <c r="G344" s="5"/>
      <c r="H344" s="28"/>
      <c r="I344" s="24"/>
      <c r="J344" s="24"/>
      <c r="K344" s="2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7"/>
      <c r="G345" s="5"/>
      <c r="H345" s="28"/>
      <c r="I345" s="24"/>
      <c r="J345" s="24"/>
      <c r="K345" s="2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7"/>
      <c r="G346" s="5"/>
      <c r="H346" s="28"/>
      <c r="I346" s="24"/>
      <c r="J346" s="24"/>
      <c r="K346" s="2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7"/>
      <c r="G347" s="5"/>
      <c r="H347" s="28"/>
      <c r="I347" s="24"/>
      <c r="J347" s="24"/>
      <c r="K347" s="2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7"/>
      <c r="G348" s="5"/>
      <c r="H348" s="28"/>
      <c r="I348" s="24"/>
      <c r="J348" s="24"/>
      <c r="K348" s="2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7"/>
      <c r="G349" s="5"/>
      <c r="H349" s="28"/>
      <c r="I349" s="24"/>
      <c r="J349" s="24"/>
      <c r="K349" s="2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7"/>
      <c r="G350" s="5"/>
      <c r="H350" s="28"/>
      <c r="I350" s="24"/>
      <c r="J350" s="24"/>
      <c r="K350" s="2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7"/>
      <c r="G351" s="5"/>
      <c r="H351" s="28"/>
      <c r="I351" s="24"/>
      <c r="J351" s="24"/>
      <c r="K351" s="2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7"/>
      <c r="G352" s="5"/>
      <c r="H352" s="28"/>
      <c r="I352" s="24"/>
      <c r="J352" s="24"/>
      <c r="K352" s="2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7"/>
      <c r="G353" s="5"/>
      <c r="H353" s="28"/>
      <c r="I353" s="24"/>
      <c r="J353" s="24"/>
      <c r="K353" s="2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7"/>
      <c r="G354" s="5"/>
      <c r="H354" s="28"/>
      <c r="I354" s="24"/>
      <c r="J354" s="24"/>
      <c r="K354" s="2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7"/>
      <c r="G355" s="5"/>
      <c r="H355" s="28"/>
      <c r="I355" s="24"/>
      <c r="J355" s="24"/>
      <c r="K355" s="2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7"/>
      <c r="G356" s="5"/>
      <c r="H356" s="28"/>
      <c r="I356" s="24"/>
      <c r="J356" s="24"/>
      <c r="K356" s="2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7"/>
      <c r="G357" s="5"/>
      <c r="H357" s="28"/>
      <c r="I357" s="24"/>
      <c r="J357" s="24"/>
      <c r="K357" s="2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7"/>
      <c r="G358" s="5"/>
      <c r="H358" s="28"/>
      <c r="I358" s="24"/>
      <c r="J358" s="24"/>
      <c r="K358" s="2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7"/>
      <c r="G359" s="5"/>
      <c r="H359" s="28"/>
      <c r="I359" s="24"/>
      <c r="J359" s="24"/>
      <c r="K359" s="2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7"/>
      <c r="G360" s="5"/>
      <c r="H360" s="28"/>
      <c r="I360" s="24"/>
      <c r="J360" s="24"/>
      <c r="K360" s="2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7"/>
      <c r="G361" s="5"/>
      <c r="H361" s="28"/>
      <c r="I361" s="24"/>
      <c r="J361" s="24"/>
      <c r="K361" s="2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7"/>
      <c r="G362" s="5"/>
      <c r="H362" s="28"/>
      <c r="I362" s="24"/>
      <c r="J362" s="24"/>
      <c r="K362" s="2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7"/>
      <c r="G363" s="5"/>
      <c r="H363" s="28"/>
      <c r="I363" s="24"/>
      <c r="J363" s="24"/>
      <c r="K363" s="2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7"/>
      <c r="G364" s="5"/>
      <c r="H364" s="28"/>
      <c r="I364" s="24"/>
      <c r="J364" s="24"/>
      <c r="K364" s="2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7"/>
      <c r="G365" s="5"/>
      <c r="H365" s="28"/>
      <c r="I365" s="24"/>
      <c r="J365" s="24"/>
      <c r="K365" s="2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7"/>
      <c r="G366" s="5"/>
      <c r="H366" s="28"/>
      <c r="I366" s="24"/>
      <c r="J366" s="24"/>
      <c r="K366" s="2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7"/>
      <c r="G367" s="5"/>
      <c r="H367" s="28"/>
      <c r="I367" s="24"/>
      <c r="J367" s="24"/>
      <c r="K367" s="2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7"/>
      <c r="G368" s="5"/>
      <c r="H368" s="28"/>
      <c r="I368" s="24"/>
      <c r="J368" s="24"/>
      <c r="K368" s="2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7"/>
      <c r="G369" s="5"/>
      <c r="H369" s="28"/>
      <c r="I369" s="24"/>
      <c r="J369" s="24"/>
      <c r="K369" s="2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7"/>
      <c r="G370" s="5"/>
      <c r="H370" s="28"/>
      <c r="I370" s="24"/>
      <c r="J370" s="24"/>
      <c r="K370" s="2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7"/>
      <c r="G371" s="5"/>
      <c r="H371" s="28"/>
      <c r="I371" s="24"/>
      <c r="J371" s="24"/>
      <c r="K371" s="2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7"/>
      <c r="G372" s="5"/>
      <c r="H372" s="28"/>
      <c r="I372" s="24"/>
      <c r="J372" s="24"/>
      <c r="K372" s="2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4"/>
      <c r="B373" s="4"/>
      <c r="C373" s="4"/>
      <c r="D373" s="4"/>
      <c r="E373" s="4"/>
      <c r="F373" s="17"/>
      <c r="G373" s="4"/>
      <c r="H373" s="160"/>
      <c r="I373" s="161"/>
      <c r="J373" s="161"/>
      <c r="K373" s="16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17"/>
      <c r="G374" s="4"/>
      <c r="H374" s="160"/>
      <c r="I374" s="161"/>
      <c r="J374" s="161"/>
      <c r="K374" s="161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17"/>
      <c r="G375" s="4"/>
      <c r="H375" s="160"/>
      <c r="I375" s="161"/>
      <c r="J375" s="161"/>
      <c r="K375" s="161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17"/>
      <c r="G376" s="4"/>
      <c r="H376" s="160"/>
      <c r="I376" s="161"/>
      <c r="J376" s="161"/>
      <c r="K376" s="161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17"/>
      <c r="G377" s="4"/>
      <c r="H377" s="160"/>
      <c r="I377" s="161"/>
      <c r="J377" s="161"/>
      <c r="K377" s="161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17"/>
      <c r="G378" s="4"/>
      <c r="H378" s="160"/>
      <c r="I378" s="161"/>
      <c r="J378" s="161"/>
      <c r="K378" s="161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17"/>
      <c r="G379" s="4"/>
      <c r="H379" s="160"/>
      <c r="I379" s="161"/>
      <c r="J379" s="161"/>
      <c r="K379" s="161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17"/>
      <c r="G380" s="4"/>
      <c r="H380" s="160"/>
      <c r="I380" s="161"/>
      <c r="J380" s="161"/>
      <c r="K380" s="161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F381" s="140"/>
      <c r="H381" s="162"/>
      <c r="I381" s="163"/>
      <c r="J381" s="163"/>
      <c r="K381" s="163"/>
    </row>
    <row r="382" ht="15.75" customHeight="1">
      <c r="F382" s="140"/>
      <c r="H382" s="162"/>
      <c r="I382" s="163"/>
      <c r="J382" s="163"/>
      <c r="K382" s="163"/>
    </row>
    <row r="383" ht="15.75" customHeight="1">
      <c r="F383" s="140"/>
      <c r="H383" s="162"/>
      <c r="I383" s="163"/>
      <c r="J383" s="163"/>
      <c r="K383" s="163"/>
    </row>
    <row r="384" ht="15.75" customHeight="1">
      <c r="F384" s="140"/>
      <c r="H384" s="162"/>
      <c r="I384" s="163"/>
      <c r="J384" s="163"/>
      <c r="K384" s="163"/>
    </row>
    <row r="385" ht="15.75" customHeight="1">
      <c r="F385" s="140"/>
      <c r="H385" s="162"/>
      <c r="I385" s="163"/>
      <c r="J385" s="163"/>
      <c r="K385" s="163"/>
    </row>
    <row r="386" ht="15.75" customHeight="1">
      <c r="F386" s="140"/>
      <c r="H386" s="162"/>
      <c r="I386" s="163"/>
      <c r="J386" s="163"/>
      <c r="K386" s="163"/>
    </row>
    <row r="387" ht="15.75" customHeight="1">
      <c r="F387" s="140"/>
      <c r="H387" s="162"/>
      <c r="I387" s="163"/>
      <c r="J387" s="163"/>
      <c r="K387" s="163"/>
    </row>
    <row r="388" ht="15.75" customHeight="1">
      <c r="F388" s="140"/>
      <c r="H388" s="162"/>
      <c r="I388" s="163"/>
      <c r="J388" s="163"/>
      <c r="K388" s="163"/>
    </row>
    <row r="389" ht="15.75" customHeight="1">
      <c r="F389" s="140"/>
      <c r="H389" s="162"/>
      <c r="I389" s="163"/>
      <c r="J389" s="163"/>
      <c r="K389" s="163"/>
    </row>
    <row r="390" ht="15.75" customHeight="1">
      <c r="F390" s="140"/>
      <c r="H390" s="162"/>
      <c r="I390" s="163"/>
      <c r="J390" s="163"/>
      <c r="K390" s="163"/>
    </row>
    <row r="391" ht="15.75" customHeight="1">
      <c r="F391" s="140"/>
      <c r="H391" s="162"/>
      <c r="I391" s="163"/>
      <c r="J391" s="163"/>
      <c r="K391" s="163"/>
    </row>
    <row r="392" ht="15.75" customHeight="1">
      <c r="F392" s="140"/>
      <c r="H392" s="162"/>
      <c r="I392" s="163"/>
      <c r="J392" s="163"/>
      <c r="K392" s="163"/>
    </row>
    <row r="393" ht="15.75" customHeight="1">
      <c r="F393" s="140"/>
      <c r="H393" s="162"/>
      <c r="I393" s="163"/>
      <c r="J393" s="163"/>
      <c r="K393" s="163"/>
    </row>
    <row r="394" ht="15.75" customHeight="1">
      <c r="F394" s="140"/>
      <c r="H394" s="162"/>
      <c r="I394" s="163"/>
      <c r="J394" s="163"/>
      <c r="K394" s="163"/>
    </row>
    <row r="395" ht="15.75" customHeight="1">
      <c r="F395" s="140"/>
      <c r="H395" s="162"/>
      <c r="I395" s="163"/>
      <c r="J395" s="163"/>
      <c r="K395" s="163"/>
    </row>
    <row r="396" ht="15.75" customHeight="1">
      <c r="F396" s="140"/>
      <c r="H396" s="162"/>
      <c r="I396" s="163"/>
      <c r="J396" s="163"/>
      <c r="K396" s="163"/>
    </row>
    <row r="397" ht="15.75" customHeight="1">
      <c r="F397" s="140"/>
      <c r="H397" s="162"/>
      <c r="I397" s="163"/>
      <c r="J397" s="163"/>
      <c r="K397" s="163"/>
    </row>
    <row r="398" ht="15.75" customHeight="1">
      <c r="F398" s="140"/>
      <c r="H398" s="162"/>
      <c r="I398" s="163"/>
      <c r="J398" s="163"/>
      <c r="K398" s="163"/>
    </row>
    <row r="399" ht="15.75" customHeight="1">
      <c r="F399" s="140"/>
      <c r="H399" s="162"/>
      <c r="I399" s="163"/>
      <c r="J399" s="163"/>
      <c r="K399" s="163"/>
    </row>
    <row r="400" ht="15.75" customHeight="1">
      <c r="F400" s="140"/>
      <c r="H400" s="162"/>
      <c r="I400" s="163"/>
      <c r="J400" s="163"/>
      <c r="K400" s="163"/>
    </row>
    <row r="401" ht="15.75" customHeight="1">
      <c r="F401" s="140"/>
      <c r="H401" s="162"/>
      <c r="I401" s="163"/>
      <c r="J401" s="163"/>
      <c r="K401" s="163"/>
    </row>
    <row r="402" ht="15.75" customHeight="1">
      <c r="F402" s="140"/>
      <c r="H402" s="162"/>
      <c r="I402" s="163"/>
      <c r="J402" s="163"/>
      <c r="K402" s="163"/>
    </row>
    <row r="403" ht="15.75" customHeight="1">
      <c r="F403" s="140"/>
      <c r="H403" s="162"/>
      <c r="I403" s="163"/>
      <c r="J403" s="163"/>
      <c r="K403" s="163"/>
    </row>
    <row r="404" ht="15.75" customHeight="1">
      <c r="F404" s="140"/>
      <c r="H404" s="162"/>
      <c r="I404" s="163"/>
      <c r="J404" s="163"/>
      <c r="K404" s="163"/>
    </row>
    <row r="405" ht="15.75" customHeight="1">
      <c r="F405" s="140"/>
      <c r="H405" s="162"/>
      <c r="I405" s="163"/>
      <c r="J405" s="163"/>
      <c r="K405" s="163"/>
    </row>
    <row r="406" ht="15.75" customHeight="1">
      <c r="F406" s="140"/>
      <c r="H406" s="162"/>
      <c r="I406" s="163"/>
      <c r="J406" s="163"/>
      <c r="K406" s="163"/>
    </row>
    <row r="407" ht="15.75" customHeight="1">
      <c r="F407" s="140"/>
      <c r="H407" s="162"/>
      <c r="I407" s="163"/>
      <c r="J407" s="163"/>
      <c r="K407" s="163"/>
    </row>
    <row r="408" ht="15.75" customHeight="1">
      <c r="F408" s="140"/>
      <c r="H408" s="162"/>
      <c r="I408" s="163"/>
      <c r="J408" s="163"/>
      <c r="K408" s="163"/>
    </row>
    <row r="409" ht="15.75" customHeight="1">
      <c r="F409" s="140"/>
      <c r="H409" s="162"/>
      <c r="I409" s="163"/>
      <c r="J409" s="163"/>
      <c r="K409" s="163"/>
    </row>
    <row r="410" ht="15.75" customHeight="1">
      <c r="F410" s="140"/>
      <c r="H410" s="162"/>
      <c r="I410" s="163"/>
      <c r="J410" s="163"/>
      <c r="K410" s="163"/>
    </row>
    <row r="411" ht="15.75" customHeight="1">
      <c r="F411" s="140"/>
      <c r="H411" s="162"/>
      <c r="I411" s="163"/>
      <c r="J411" s="163"/>
      <c r="K411" s="163"/>
    </row>
    <row r="412" ht="15.75" customHeight="1">
      <c r="F412" s="140"/>
      <c r="H412" s="162"/>
      <c r="I412" s="163"/>
      <c r="J412" s="163"/>
      <c r="K412" s="163"/>
    </row>
    <row r="413" ht="15.75" customHeight="1">
      <c r="F413" s="140"/>
      <c r="H413" s="162"/>
      <c r="I413" s="163"/>
      <c r="J413" s="163"/>
      <c r="K413" s="163"/>
    </row>
    <row r="414" ht="15.75" customHeight="1">
      <c r="F414" s="140"/>
      <c r="H414" s="162"/>
      <c r="I414" s="163"/>
      <c r="J414" s="163"/>
      <c r="K414" s="163"/>
    </row>
    <row r="415" ht="15.75" customHeight="1">
      <c r="F415" s="140"/>
      <c r="H415" s="162"/>
      <c r="I415" s="163"/>
      <c r="J415" s="163"/>
      <c r="K415" s="163"/>
    </row>
    <row r="416" ht="15.75" customHeight="1">
      <c r="F416" s="140"/>
      <c r="H416" s="162"/>
      <c r="I416" s="163"/>
      <c r="J416" s="163"/>
      <c r="K416" s="163"/>
    </row>
    <row r="417" ht="15.75" customHeight="1">
      <c r="F417" s="140"/>
      <c r="H417" s="162"/>
      <c r="I417" s="163"/>
      <c r="J417" s="163"/>
      <c r="K417" s="163"/>
    </row>
    <row r="418" ht="15.75" customHeight="1">
      <c r="F418" s="140"/>
      <c r="H418" s="162"/>
      <c r="I418" s="163"/>
      <c r="J418" s="163"/>
      <c r="K418" s="163"/>
    </row>
    <row r="419" ht="15.75" customHeight="1">
      <c r="F419" s="140"/>
      <c r="H419" s="162"/>
      <c r="I419" s="163"/>
      <c r="J419" s="163"/>
      <c r="K419" s="163"/>
    </row>
    <row r="420" ht="15.75" customHeight="1">
      <c r="F420" s="140"/>
      <c r="H420" s="162"/>
      <c r="I420" s="163"/>
      <c r="J420" s="163"/>
      <c r="K420" s="163"/>
    </row>
    <row r="421" ht="15.75" customHeight="1">
      <c r="F421" s="140"/>
      <c r="H421" s="162"/>
      <c r="I421" s="163"/>
      <c r="J421" s="163"/>
      <c r="K421" s="163"/>
    </row>
    <row r="422" ht="15.75" customHeight="1">
      <c r="F422" s="140"/>
      <c r="H422" s="162"/>
      <c r="I422" s="163"/>
      <c r="J422" s="163"/>
      <c r="K422" s="163"/>
    </row>
    <row r="423" ht="15.75" customHeight="1">
      <c r="F423" s="140"/>
      <c r="H423" s="162"/>
      <c r="I423" s="163"/>
      <c r="J423" s="163"/>
      <c r="K423" s="163"/>
    </row>
    <row r="424" ht="15.75" customHeight="1">
      <c r="F424" s="140"/>
      <c r="H424" s="162"/>
      <c r="I424" s="163"/>
      <c r="J424" s="163"/>
      <c r="K424" s="163"/>
    </row>
    <row r="425" ht="15.75" customHeight="1">
      <c r="F425" s="140"/>
      <c r="H425" s="162"/>
      <c r="I425" s="163"/>
      <c r="J425" s="163"/>
      <c r="K425" s="163"/>
    </row>
    <row r="426" ht="15.75" customHeight="1">
      <c r="F426" s="140"/>
      <c r="H426" s="162"/>
      <c r="I426" s="163"/>
      <c r="J426" s="163"/>
      <c r="K426" s="163"/>
    </row>
    <row r="427" ht="15.75" customHeight="1">
      <c r="F427" s="140"/>
      <c r="H427" s="162"/>
      <c r="I427" s="163"/>
      <c r="J427" s="163"/>
      <c r="K427" s="163"/>
    </row>
    <row r="428" ht="15.75" customHeight="1">
      <c r="F428" s="140"/>
      <c r="H428" s="162"/>
      <c r="I428" s="163"/>
      <c r="J428" s="163"/>
      <c r="K428" s="163"/>
    </row>
    <row r="429" ht="15.75" customHeight="1">
      <c r="F429" s="140"/>
      <c r="H429" s="162"/>
      <c r="I429" s="163"/>
      <c r="J429" s="163"/>
      <c r="K429" s="163"/>
    </row>
    <row r="430" ht="15.75" customHeight="1">
      <c r="F430" s="140"/>
      <c r="H430" s="162"/>
      <c r="I430" s="163"/>
      <c r="J430" s="163"/>
      <c r="K430" s="163"/>
    </row>
    <row r="431" ht="15.75" customHeight="1">
      <c r="F431" s="140"/>
      <c r="H431" s="162"/>
      <c r="I431" s="163"/>
      <c r="J431" s="163"/>
      <c r="K431" s="163"/>
    </row>
    <row r="432" ht="15.75" customHeight="1">
      <c r="F432" s="140"/>
      <c r="H432" s="162"/>
      <c r="I432" s="163"/>
      <c r="J432" s="163"/>
      <c r="K432" s="163"/>
    </row>
    <row r="433" ht="15.75" customHeight="1">
      <c r="F433" s="140"/>
      <c r="H433" s="162"/>
      <c r="I433" s="163"/>
      <c r="J433" s="163"/>
      <c r="K433" s="163"/>
    </row>
    <row r="434" ht="15.75" customHeight="1">
      <c r="F434" s="140"/>
      <c r="H434" s="162"/>
      <c r="I434" s="163"/>
      <c r="J434" s="163"/>
      <c r="K434" s="163"/>
    </row>
    <row r="435" ht="15.75" customHeight="1">
      <c r="F435" s="140"/>
      <c r="H435" s="162"/>
      <c r="I435" s="163"/>
      <c r="J435" s="163"/>
      <c r="K435" s="163"/>
    </row>
    <row r="436" ht="15.75" customHeight="1">
      <c r="F436" s="140"/>
      <c r="H436" s="162"/>
      <c r="I436" s="163"/>
      <c r="J436" s="163"/>
      <c r="K436" s="163"/>
    </row>
    <row r="437" ht="15.75" customHeight="1">
      <c r="F437" s="140"/>
      <c r="H437" s="162"/>
      <c r="I437" s="163"/>
      <c r="J437" s="163"/>
      <c r="K437" s="163"/>
    </row>
    <row r="438" ht="15.75" customHeight="1">
      <c r="F438" s="140"/>
      <c r="H438" s="162"/>
      <c r="I438" s="163"/>
      <c r="J438" s="163"/>
      <c r="K438" s="163"/>
    </row>
    <row r="439" ht="15.75" customHeight="1">
      <c r="F439" s="140"/>
      <c r="H439" s="162"/>
      <c r="I439" s="163"/>
      <c r="J439" s="163"/>
      <c r="K439" s="163"/>
    </row>
    <row r="440" ht="15.75" customHeight="1">
      <c r="F440" s="140"/>
      <c r="H440" s="162"/>
      <c r="I440" s="163"/>
      <c r="J440" s="163"/>
      <c r="K440" s="163"/>
    </row>
    <row r="441" ht="15.75" customHeight="1">
      <c r="F441" s="140"/>
      <c r="H441" s="162"/>
      <c r="I441" s="163"/>
      <c r="J441" s="163"/>
      <c r="K441" s="163"/>
    </row>
    <row r="442" ht="15.75" customHeight="1">
      <c r="F442" s="140"/>
      <c r="H442" s="162"/>
      <c r="I442" s="163"/>
      <c r="J442" s="163"/>
      <c r="K442" s="163"/>
    </row>
    <row r="443" ht="15.75" customHeight="1">
      <c r="F443" s="140"/>
      <c r="H443" s="162"/>
      <c r="I443" s="163"/>
      <c r="J443" s="163"/>
      <c r="K443" s="163"/>
    </row>
    <row r="444" ht="15.75" customHeight="1">
      <c r="F444" s="140"/>
      <c r="H444" s="162"/>
      <c r="I444" s="163"/>
      <c r="J444" s="163"/>
      <c r="K444" s="163"/>
    </row>
    <row r="445" ht="15.75" customHeight="1">
      <c r="F445" s="140"/>
      <c r="H445" s="162"/>
      <c r="I445" s="163"/>
      <c r="J445" s="163"/>
      <c r="K445" s="163"/>
    </row>
    <row r="446" ht="15.75" customHeight="1">
      <c r="F446" s="140"/>
      <c r="H446" s="162"/>
      <c r="I446" s="163"/>
      <c r="J446" s="163"/>
      <c r="K446" s="163"/>
    </row>
    <row r="447" ht="15.75" customHeight="1">
      <c r="F447" s="140"/>
      <c r="H447" s="162"/>
      <c r="I447" s="163"/>
      <c r="J447" s="163"/>
      <c r="K447" s="163"/>
    </row>
    <row r="448" ht="15.75" customHeight="1">
      <c r="F448" s="140"/>
      <c r="H448" s="162"/>
      <c r="I448" s="163"/>
      <c r="J448" s="163"/>
      <c r="K448" s="163"/>
    </row>
    <row r="449" ht="15.75" customHeight="1">
      <c r="F449" s="140"/>
      <c r="H449" s="162"/>
      <c r="I449" s="163"/>
      <c r="J449" s="163"/>
      <c r="K449" s="163"/>
    </row>
    <row r="450" ht="15.75" customHeight="1">
      <c r="F450" s="140"/>
      <c r="H450" s="162"/>
      <c r="I450" s="163"/>
      <c r="J450" s="163"/>
      <c r="K450" s="163"/>
    </row>
    <row r="451" ht="15.75" customHeight="1">
      <c r="F451" s="140"/>
      <c r="H451" s="162"/>
      <c r="I451" s="163"/>
      <c r="J451" s="163"/>
      <c r="K451" s="163"/>
    </row>
    <row r="452" ht="15.75" customHeight="1">
      <c r="F452" s="140"/>
      <c r="H452" s="162"/>
      <c r="I452" s="163"/>
      <c r="J452" s="163"/>
      <c r="K452" s="163"/>
    </row>
    <row r="453" ht="15.75" customHeight="1">
      <c r="F453" s="140"/>
      <c r="H453" s="162"/>
      <c r="I453" s="163"/>
      <c r="J453" s="163"/>
      <c r="K453" s="163"/>
    </row>
    <row r="454" ht="15.75" customHeight="1">
      <c r="F454" s="140"/>
      <c r="H454" s="162"/>
      <c r="I454" s="163"/>
      <c r="J454" s="163"/>
      <c r="K454" s="163"/>
    </row>
    <row r="455" ht="15.75" customHeight="1">
      <c r="F455" s="140"/>
      <c r="H455" s="162"/>
      <c r="I455" s="163"/>
      <c r="J455" s="163"/>
      <c r="K455" s="163"/>
    </row>
    <row r="456" ht="15.75" customHeight="1">
      <c r="F456" s="140"/>
      <c r="H456" s="162"/>
      <c r="I456" s="163"/>
      <c r="J456" s="163"/>
      <c r="K456" s="163"/>
    </row>
    <row r="457" ht="15.75" customHeight="1">
      <c r="F457" s="140"/>
      <c r="H457" s="162"/>
      <c r="I457" s="163"/>
      <c r="J457" s="163"/>
      <c r="K457" s="163"/>
    </row>
    <row r="458" ht="15.75" customHeight="1">
      <c r="F458" s="140"/>
      <c r="H458" s="162"/>
      <c r="I458" s="163"/>
      <c r="J458" s="163"/>
      <c r="K458" s="163"/>
    </row>
    <row r="459" ht="15.75" customHeight="1">
      <c r="F459" s="140"/>
      <c r="H459" s="162"/>
      <c r="I459" s="163"/>
      <c r="J459" s="163"/>
      <c r="K459" s="163"/>
    </row>
    <row r="460" ht="15.75" customHeight="1">
      <c r="F460" s="140"/>
      <c r="H460" s="162"/>
      <c r="I460" s="163"/>
      <c r="J460" s="163"/>
      <c r="K460" s="163"/>
    </row>
    <row r="461" ht="15.75" customHeight="1">
      <c r="F461" s="140"/>
      <c r="H461" s="162"/>
      <c r="I461" s="163"/>
      <c r="J461" s="163"/>
      <c r="K461" s="163"/>
    </row>
    <row r="462" ht="15.75" customHeight="1">
      <c r="F462" s="140"/>
      <c r="H462" s="162"/>
      <c r="I462" s="163"/>
      <c r="J462" s="163"/>
      <c r="K462" s="163"/>
    </row>
    <row r="463" ht="15.75" customHeight="1">
      <c r="F463" s="140"/>
      <c r="H463" s="162"/>
      <c r="I463" s="163"/>
      <c r="J463" s="163"/>
      <c r="K463" s="163"/>
    </row>
    <row r="464" ht="15.75" customHeight="1">
      <c r="F464" s="140"/>
      <c r="H464" s="162"/>
      <c r="I464" s="163"/>
      <c r="J464" s="163"/>
      <c r="K464" s="163"/>
    </row>
    <row r="465" ht="15.75" customHeight="1">
      <c r="F465" s="140"/>
      <c r="H465" s="162"/>
      <c r="I465" s="163"/>
      <c r="J465" s="163"/>
      <c r="K465" s="163"/>
    </row>
    <row r="466" ht="15.75" customHeight="1">
      <c r="F466" s="140"/>
      <c r="H466" s="162"/>
      <c r="I466" s="163"/>
      <c r="J466" s="163"/>
      <c r="K466" s="163"/>
    </row>
    <row r="467" ht="15.75" customHeight="1">
      <c r="F467" s="140"/>
      <c r="H467" s="162"/>
      <c r="I467" s="163"/>
      <c r="J467" s="163"/>
      <c r="K467" s="163"/>
    </row>
    <row r="468" ht="15.75" customHeight="1">
      <c r="F468" s="140"/>
      <c r="H468" s="162"/>
      <c r="I468" s="163"/>
      <c r="J468" s="163"/>
      <c r="K468" s="163"/>
    </row>
    <row r="469" ht="15.75" customHeight="1">
      <c r="F469" s="140"/>
      <c r="H469" s="162"/>
      <c r="I469" s="163"/>
      <c r="J469" s="163"/>
      <c r="K469" s="163"/>
    </row>
    <row r="470" ht="15.75" customHeight="1">
      <c r="F470" s="140"/>
      <c r="H470" s="162"/>
      <c r="I470" s="163"/>
      <c r="J470" s="163"/>
      <c r="K470" s="163"/>
    </row>
    <row r="471" ht="15.75" customHeight="1">
      <c r="F471" s="140"/>
      <c r="H471" s="162"/>
      <c r="I471" s="163"/>
      <c r="J471" s="163"/>
      <c r="K471" s="163"/>
    </row>
    <row r="472" ht="15.75" customHeight="1">
      <c r="F472" s="140"/>
      <c r="H472" s="162"/>
      <c r="I472" s="163"/>
      <c r="J472" s="163"/>
      <c r="K472" s="163"/>
    </row>
    <row r="473" ht="15.75" customHeight="1">
      <c r="F473" s="140"/>
      <c r="H473" s="162"/>
      <c r="I473" s="163"/>
      <c r="J473" s="163"/>
      <c r="K473" s="163"/>
    </row>
    <row r="474" ht="15.75" customHeight="1">
      <c r="F474" s="140"/>
      <c r="H474" s="162"/>
      <c r="I474" s="163"/>
      <c r="J474" s="163"/>
      <c r="K474" s="163"/>
    </row>
    <row r="475" ht="15.75" customHeight="1">
      <c r="F475" s="140"/>
      <c r="H475" s="162"/>
      <c r="I475" s="163"/>
      <c r="J475" s="163"/>
      <c r="K475" s="163"/>
    </row>
    <row r="476" ht="15.75" customHeight="1">
      <c r="F476" s="140"/>
      <c r="H476" s="162"/>
      <c r="I476" s="163"/>
      <c r="J476" s="163"/>
      <c r="K476" s="163"/>
    </row>
    <row r="477" ht="15.75" customHeight="1">
      <c r="F477" s="140"/>
      <c r="H477" s="162"/>
      <c r="I477" s="163"/>
      <c r="J477" s="163"/>
      <c r="K477" s="163"/>
    </row>
    <row r="478" ht="15.75" customHeight="1">
      <c r="F478" s="140"/>
      <c r="H478" s="162"/>
      <c r="I478" s="163"/>
      <c r="J478" s="163"/>
      <c r="K478" s="163"/>
    </row>
    <row r="479" ht="15.75" customHeight="1">
      <c r="F479" s="140"/>
      <c r="H479" s="162"/>
      <c r="I479" s="163"/>
      <c r="J479" s="163"/>
      <c r="K479" s="163"/>
    </row>
    <row r="480" ht="15.75" customHeight="1">
      <c r="F480" s="140"/>
      <c r="H480" s="162"/>
      <c r="I480" s="163"/>
      <c r="J480" s="163"/>
      <c r="K480" s="163"/>
    </row>
    <row r="481" ht="15.75" customHeight="1">
      <c r="F481" s="140"/>
      <c r="H481" s="162"/>
      <c r="I481" s="163"/>
      <c r="J481" s="163"/>
      <c r="K481" s="163"/>
    </row>
    <row r="482" ht="15.75" customHeight="1">
      <c r="F482" s="140"/>
      <c r="H482" s="162"/>
      <c r="I482" s="163"/>
      <c r="J482" s="163"/>
      <c r="K482" s="163"/>
    </row>
    <row r="483" ht="15.75" customHeight="1">
      <c r="F483" s="140"/>
      <c r="H483" s="162"/>
      <c r="I483" s="163"/>
      <c r="J483" s="163"/>
      <c r="K483" s="163"/>
    </row>
    <row r="484" ht="15.75" customHeight="1">
      <c r="F484" s="140"/>
      <c r="H484" s="162"/>
      <c r="I484" s="163"/>
      <c r="J484" s="163"/>
      <c r="K484" s="163"/>
    </row>
    <row r="485" ht="15.75" customHeight="1">
      <c r="F485" s="140"/>
      <c r="H485" s="162"/>
      <c r="I485" s="163"/>
      <c r="J485" s="163"/>
      <c r="K485" s="163"/>
    </row>
    <row r="486" ht="15.75" customHeight="1">
      <c r="F486" s="140"/>
      <c r="H486" s="162"/>
      <c r="I486" s="163"/>
      <c r="J486" s="163"/>
      <c r="K486" s="163"/>
    </row>
    <row r="487" ht="15.75" customHeight="1">
      <c r="F487" s="140"/>
      <c r="H487" s="162"/>
      <c r="I487" s="163"/>
      <c r="J487" s="163"/>
      <c r="K487" s="163"/>
    </row>
    <row r="488" ht="15.75" customHeight="1">
      <c r="F488" s="140"/>
      <c r="H488" s="162"/>
      <c r="I488" s="163"/>
      <c r="J488" s="163"/>
      <c r="K488" s="163"/>
    </row>
    <row r="489" ht="15.75" customHeight="1">
      <c r="F489" s="140"/>
      <c r="H489" s="162"/>
      <c r="I489" s="163"/>
      <c r="J489" s="163"/>
      <c r="K489" s="163"/>
    </row>
    <row r="490" ht="15.75" customHeight="1">
      <c r="F490" s="140"/>
      <c r="H490" s="162"/>
      <c r="I490" s="163"/>
      <c r="J490" s="163"/>
      <c r="K490" s="163"/>
    </row>
    <row r="491" ht="15.75" customHeight="1">
      <c r="F491" s="140"/>
      <c r="H491" s="162"/>
      <c r="I491" s="163"/>
      <c r="J491" s="163"/>
      <c r="K491" s="163"/>
    </row>
    <row r="492" ht="15.75" customHeight="1">
      <c r="F492" s="140"/>
      <c r="H492" s="162"/>
      <c r="I492" s="163"/>
      <c r="J492" s="163"/>
      <c r="K492" s="163"/>
    </row>
    <row r="493" ht="15.75" customHeight="1">
      <c r="F493" s="140"/>
      <c r="H493" s="162"/>
      <c r="I493" s="163"/>
      <c r="J493" s="163"/>
      <c r="K493" s="163"/>
    </row>
    <row r="494" ht="15.75" customHeight="1">
      <c r="F494" s="140"/>
      <c r="H494" s="162"/>
      <c r="I494" s="163"/>
      <c r="J494" s="163"/>
      <c r="K494" s="163"/>
    </row>
    <row r="495" ht="15.75" customHeight="1">
      <c r="F495" s="140"/>
      <c r="H495" s="162"/>
      <c r="I495" s="163"/>
      <c r="J495" s="163"/>
      <c r="K495" s="163"/>
    </row>
    <row r="496" ht="15.75" customHeight="1">
      <c r="F496" s="140"/>
      <c r="H496" s="162"/>
      <c r="I496" s="163"/>
      <c r="J496" s="163"/>
      <c r="K496" s="163"/>
    </row>
    <row r="497" ht="15.75" customHeight="1">
      <c r="F497" s="140"/>
      <c r="H497" s="162"/>
      <c r="I497" s="163"/>
      <c r="J497" s="163"/>
      <c r="K497" s="163"/>
    </row>
    <row r="498" ht="15.75" customHeight="1">
      <c r="F498" s="140"/>
      <c r="H498" s="162"/>
      <c r="I498" s="163"/>
      <c r="J498" s="163"/>
      <c r="K498" s="163"/>
    </row>
    <row r="499" ht="15.75" customHeight="1">
      <c r="F499" s="140"/>
      <c r="H499" s="162"/>
      <c r="I499" s="163"/>
      <c r="J499" s="163"/>
      <c r="K499" s="163"/>
    </row>
    <row r="500" ht="15.75" customHeight="1">
      <c r="F500" s="140"/>
      <c r="H500" s="162"/>
      <c r="I500" s="163"/>
      <c r="J500" s="163"/>
      <c r="K500" s="163"/>
    </row>
    <row r="501" ht="15.75" customHeight="1">
      <c r="F501" s="140"/>
      <c r="H501" s="162"/>
      <c r="I501" s="163"/>
      <c r="J501" s="163"/>
      <c r="K501" s="163"/>
    </row>
    <row r="502" ht="15.75" customHeight="1">
      <c r="F502" s="140"/>
      <c r="H502" s="162"/>
      <c r="I502" s="163"/>
      <c r="J502" s="163"/>
      <c r="K502" s="163"/>
    </row>
    <row r="503" ht="15.75" customHeight="1">
      <c r="F503" s="140"/>
      <c r="H503" s="162"/>
      <c r="I503" s="163"/>
      <c r="J503" s="163"/>
      <c r="K503" s="163"/>
    </row>
    <row r="504" ht="15.75" customHeight="1">
      <c r="F504" s="140"/>
      <c r="H504" s="162"/>
      <c r="I504" s="163"/>
      <c r="J504" s="163"/>
      <c r="K504" s="163"/>
    </row>
    <row r="505" ht="15.75" customHeight="1">
      <c r="F505" s="140"/>
      <c r="H505" s="162"/>
      <c r="I505" s="163"/>
      <c r="J505" s="163"/>
      <c r="K505" s="163"/>
    </row>
    <row r="506" ht="15.75" customHeight="1">
      <c r="F506" s="140"/>
      <c r="H506" s="162"/>
      <c r="I506" s="163"/>
      <c r="J506" s="163"/>
      <c r="K506" s="163"/>
    </row>
    <row r="507" ht="15.75" customHeight="1">
      <c r="F507" s="140"/>
      <c r="H507" s="162"/>
      <c r="I507" s="163"/>
      <c r="J507" s="163"/>
      <c r="K507" s="163"/>
    </row>
    <row r="508" ht="15.75" customHeight="1">
      <c r="F508" s="140"/>
      <c r="H508" s="162"/>
      <c r="I508" s="163"/>
      <c r="J508" s="163"/>
      <c r="K508" s="163"/>
    </row>
    <row r="509" ht="15.75" customHeight="1">
      <c r="F509" s="140"/>
      <c r="H509" s="162"/>
      <c r="I509" s="163"/>
      <c r="J509" s="163"/>
      <c r="K509" s="163"/>
    </row>
    <row r="510" ht="15.75" customHeight="1">
      <c r="F510" s="140"/>
      <c r="H510" s="162"/>
      <c r="I510" s="163"/>
      <c r="J510" s="163"/>
      <c r="K510" s="163"/>
    </row>
    <row r="511" ht="15.75" customHeight="1">
      <c r="F511" s="140"/>
      <c r="H511" s="162"/>
      <c r="I511" s="163"/>
      <c r="J511" s="163"/>
      <c r="K511" s="163"/>
    </row>
    <row r="512" ht="15.75" customHeight="1">
      <c r="F512" s="140"/>
      <c r="H512" s="162"/>
      <c r="I512" s="163"/>
      <c r="J512" s="163"/>
      <c r="K512" s="163"/>
    </row>
    <row r="513" ht="15.75" customHeight="1">
      <c r="F513" s="140"/>
      <c r="H513" s="162"/>
      <c r="I513" s="163"/>
      <c r="J513" s="163"/>
      <c r="K513" s="163"/>
    </row>
    <row r="514" ht="15.75" customHeight="1">
      <c r="F514" s="140"/>
      <c r="H514" s="162"/>
      <c r="I514" s="163"/>
      <c r="J514" s="163"/>
      <c r="K514" s="163"/>
    </row>
    <row r="515" ht="15.75" customHeight="1">
      <c r="F515" s="140"/>
      <c r="H515" s="162"/>
      <c r="I515" s="163"/>
      <c r="J515" s="163"/>
      <c r="K515" s="163"/>
    </row>
    <row r="516" ht="15.75" customHeight="1">
      <c r="F516" s="140"/>
      <c r="H516" s="162"/>
      <c r="I516" s="163"/>
      <c r="J516" s="163"/>
      <c r="K516" s="163"/>
    </row>
    <row r="517" ht="15.75" customHeight="1">
      <c r="F517" s="140"/>
      <c r="H517" s="162"/>
      <c r="I517" s="163"/>
      <c r="J517" s="163"/>
      <c r="K517" s="163"/>
    </row>
    <row r="518" ht="15.75" customHeight="1">
      <c r="F518" s="140"/>
      <c r="H518" s="162"/>
      <c r="I518" s="163"/>
      <c r="J518" s="163"/>
      <c r="K518" s="163"/>
    </row>
    <row r="519" ht="15.75" customHeight="1">
      <c r="F519" s="140"/>
      <c r="H519" s="162"/>
      <c r="I519" s="163"/>
      <c r="J519" s="163"/>
      <c r="K519" s="163"/>
    </row>
    <row r="520" ht="15.75" customHeight="1">
      <c r="F520" s="140"/>
      <c r="H520" s="162"/>
      <c r="I520" s="163"/>
      <c r="J520" s="163"/>
      <c r="K520" s="163"/>
    </row>
    <row r="521" ht="15.75" customHeight="1">
      <c r="F521" s="140"/>
      <c r="H521" s="162"/>
      <c r="I521" s="163"/>
      <c r="J521" s="163"/>
      <c r="K521" s="163"/>
    </row>
    <row r="522" ht="15.75" customHeight="1">
      <c r="F522" s="140"/>
      <c r="H522" s="162"/>
      <c r="I522" s="163"/>
      <c r="J522" s="163"/>
      <c r="K522" s="163"/>
    </row>
    <row r="523" ht="15.75" customHeight="1">
      <c r="F523" s="140"/>
      <c r="H523" s="162"/>
      <c r="I523" s="163"/>
      <c r="J523" s="163"/>
      <c r="K523" s="163"/>
    </row>
    <row r="524" ht="15.75" customHeight="1">
      <c r="F524" s="140"/>
      <c r="H524" s="162"/>
      <c r="I524" s="163"/>
      <c r="J524" s="163"/>
      <c r="K524" s="163"/>
    </row>
    <row r="525" ht="15.75" customHeight="1">
      <c r="F525" s="140"/>
      <c r="H525" s="162"/>
      <c r="I525" s="163"/>
      <c r="J525" s="163"/>
      <c r="K525" s="163"/>
    </row>
    <row r="526" ht="15.75" customHeight="1">
      <c r="F526" s="140"/>
      <c r="H526" s="162"/>
      <c r="I526" s="163"/>
      <c r="J526" s="163"/>
      <c r="K526" s="163"/>
    </row>
    <row r="527" ht="15.75" customHeight="1">
      <c r="F527" s="140"/>
      <c r="H527" s="162"/>
      <c r="I527" s="163"/>
      <c r="J527" s="163"/>
      <c r="K527" s="163"/>
    </row>
    <row r="528" ht="15.75" customHeight="1">
      <c r="F528" s="140"/>
      <c r="H528" s="162"/>
      <c r="I528" s="163"/>
      <c r="J528" s="163"/>
      <c r="K528" s="163"/>
    </row>
    <row r="529" ht="15.75" customHeight="1">
      <c r="F529" s="140"/>
      <c r="H529" s="162"/>
      <c r="I529" s="163"/>
      <c r="J529" s="163"/>
      <c r="K529" s="163"/>
    </row>
    <row r="530" ht="15.75" customHeight="1">
      <c r="F530" s="140"/>
      <c r="H530" s="162"/>
      <c r="I530" s="163"/>
      <c r="J530" s="163"/>
      <c r="K530" s="163"/>
    </row>
    <row r="531" ht="15.75" customHeight="1">
      <c r="F531" s="140"/>
      <c r="H531" s="162"/>
      <c r="I531" s="163"/>
      <c r="J531" s="163"/>
      <c r="K531" s="163"/>
    </row>
    <row r="532" ht="15.75" customHeight="1">
      <c r="F532" s="140"/>
      <c r="H532" s="162"/>
      <c r="I532" s="163"/>
      <c r="J532" s="163"/>
      <c r="K532" s="163"/>
    </row>
    <row r="533" ht="15.75" customHeight="1">
      <c r="F533" s="140"/>
      <c r="H533" s="162"/>
      <c r="I533" s="163"/>
      <c r="J533" s="163"/>
      <c r="K533" s="163"/>
    </row>
    <row r="534" ht="15.75" customHeight="1">
      <c r="F534" s="140"/>
      <c r="H534" s="162"/>
      <c r="I534" s="163"/>
      <c r="J534" s="163"/>
      <c r="K534" s="163"/>
    </row>
    <row r="535" ht="15.75" customHeight="1">
      <c r="F535" s="140"/>
      <c r="H535" s="162"/>
      <c r="I535" s="163"/>
      <c r="J535" s="163"/>
      <c r="K535" s="163"/>
    </row>
    <row r="536" ht="15.75" customHeight="1">
      <c r="F536" s="140"/>
      <c r="H536" s="162"/>
      <c r="I536" s="163"/>
      <c r="J536" s="163"/>
      <c r="K536" s="163"/>
    </row>
    <row r="537" ht="15.75" customHeight="1">
      <c r="F537" s="140"/>
      <c r="H537" s="162"/>
      <c r="I537" s="163"/>
      <c r="J537" s="163"/>
      <c r="K537" s="163"/>
    </row>
    <row r="538" ht="15.75" customHeight="1">
      <c r="F538" s="140"/>
      <c r="H538" s="162"/>
      <c r="I538" s="163"/>
      <c r="J538" s="163"/>
      <c r="K538" s="163"/>
    </row>
    <row r="539" ht="15.75" customHeight="1">
      <c r="F539" s="140"/>
      <c r="H539" s="162"/>
      <c r="I539" s="163"/>
      <c r="J539" s="163"/>
      <c r="K539" s="163"/>
    </row>
    <row r="540" ht="15.75" customHeight="1">
      <c r="F540" s="140"/>
      <c r="H540" s="162"/>
      <c r="I540" s="163"/>
      <c r="J540" s="163"/>
      <c r="K540" s="163"/>
    </row>
    <row r="541" ht="15.75" customHeight="1">
      <c r="F541" s="140"/>
      <c r="H541" s="162"/>
      <c r="I541" s="163"/>
      <c r="J541" s="163"/>
      <c r="K541" s="163"/>
    </row>
    <row r="542" ht="15.75" customHeight="1">
      <c r="F542" s="140"/>
      <c r="H542" s="162"/>
      <c r="I542" s="163"/>
      <c r="J542" s="163"/>
      <c r="K542" s="163"/>
    </row>
    <row r="543" ht="15.75" customHeight="1">
      <c r="F543" s="140"/>
      <c r="H543" s="162"/>
      <c r="I543" s="163"/>
      <c r="J543" s="163"/>
      <c r="K543" s="163"/>
    </row>
    <row r="544" ht="15.75" customHeight="1">
      <c r="F544" s="140"/>
      <c r="H544" s="162"/>
      <c r="I544" s="163"/>
      <c r="J544" s="163"/>
      <c r="K544" s="163"/>
    </row>
    <row r="545" ht="15.75" customHeight="1">
      <c r="F545" s="140"/>
      <c r="H545" s="162"/>
      <c r="I545" s="163"/>
      <c r="J545" s="163"/>
      <c r="K545" s="163"/>
    </row>
    <row r="546" ht="15.75" customHeight="1">
      <c r="F546" s="140"/>
      <c r="H546" s="162"/>
      <c r="I546" s="163"/>
      <c r="J546" s="163"/>
      <c r="K546" s="163"/>
    </row>
    <row r="547" ht="15.75" customHeight="1">
      <c r="F547" s="140"/>
      <c r="H547" s="162"/>
      <c r="I547" s="163"/>
      <c r="J547" s="163"/>
      <c r="K547" s="163"/>
    </row>
    <row r="548" ht="15.75" customHeight="1">
      <c r="F548" s="140"/>
      <c r="H548" s="162"/>
      <c r="I548" s="163"/>
      <c r="J548" s="163"/>
      <c r="K548" s="163"/>
    </row>
    <row r="549" ht="15.75" customHeight="1">
      <c r="F549" s="140"/>
      <c r="H549" s="162"/>
      <c r="I549" s="163"/>
      <c r="J549" s="163"/>
      <c r="K549" s="163"/>
    </row>
    <row r="550" ht="15.75" customHeight="1">
      <c r="F550" s="140"/>
      <c r="H550" s="162"/>
      <c r="I550" s="163"/>
      <c r="J550" s="163"/>
      <c r="K550" s="163"/>
    </row>
    <row r="551" ht="15.75" customHeight="1">
      <c r="F551" s="140"/>
      <c r="H551" s="162"/>
      <c r="I551" s="163"/>
      <c r="J551" s="163"/>
      <c r="K551" s="163"/>
    </row>
    <row r="552" ht="15.75" customHeight="1">
      <c r="F552" s="140"/>
      <c r="H552" s="162"/>
      <c r="I552" s="163"/>
      <c r="J552" s="163"/>
      <c r="K552" s="163"/>
    </row>
    <row r="553" ht="15.75" customHeight="1">
      <c r="F553" s="140"/>
      <c r="H553" s="162"/>
      <c r="I553" s="163"/>
      <c r="J553" s="163"/>
      <c r="K553" s="163"/>
    </row>
    <row r="554" ht="15.75" customHeight="1">
      <c r="F554" s="140"/>
      <c r="H554" s="162"/>
      <c r="I554" s="163"/>
      <c r="J554" s="163"/>
      <c r="K554" s="163"/>
    </row>
    <row r="555" ht="15.75" customHeight="1">
      <c r="F555" s="140"/>
      <c r="H555" s="162"/>
      <c r="I555" s="163"/>
      <c r="J555" s="163"/>
      <c r="K555" s="163"/>
    </row>
    <row r="556" ht="15.75" customHeight="1">
      <c r="F556" s="140"/>
      <c r="H556" s="162"/>
      <c r="I556" s="163"/>
      <c r="J556" s="163"/>
      <c r="K556" s="163"/>
    </row>
    <row r="557" ht="15.75" customHeight="1">
      <c r="F557" s="140"/>
      <c r="H557" s="162"/>
      <c r="I557" s="163"/>
      <c r="J557" s="163"/>
      <c r="K557" s="163"/>
    </row>
    <row r="558" ht="15.75" customHeight="1">
      <c r="F558" s="140"/>
      <c r="H558" s="162"/>
      <c r="I558" s="163"/>
      <c r="J558" s="163"/>
      <c r="K558" s="163"/>
    </row>
    <row r="559" ht="15.75" customHeight="1">
      <c r="F559" s="140"/>
      <c r="H559" s="162"/>
      <c r="I559" s="163"/>
      <c r="J559" s="163"/>
      <c r="K559" s="163"/>
    </row>
    <row r="560" ht="15.75" customHeight="1">
      <c r="F560" s="140"/>
      <c r="H560" s="162"/>
      <c r="I560" s="163"/>
      <c r="J560" s="163"/>
      <c r="K560" s="163"/>
    </row>
    <row r="561" ht="15.75" customHeight="1">
      <c r="F561" s="140"/>
      <c r="H561" s="162"/>
      <c r="I561" s="163"/>
      <c r="J561" s="163"/>
      <c r="K561" s="163"/>
    </row>
    <row r="562" ht="15.75" customHeight="1">
      <c r="F562" s="140"/>
      <c r="H562" s="162"/>
      <c r="I562" s="163"/>
      <c r="J562" s="163"/>
      <c r="K562" s="163"/>
    </row>
    <row r="563" ht="15.75" customHeight="1">
      <c r="F563" s="140"/>
      <c r="H563" s="162"/>
      <c r="I563" s="163"/>
      <c r="J563" s="163"/>
      <c r="K563" s="163"/>
    </row>
    <row r="564" ht="15.75" customHeight="1">
      <c r="F564" s="140"/>
      <c r="H564" s="162"/>
      <c r="I564" s="163"/>
      <c r="J564" s="163"/>
      <c r="K564" s="163"/>
    </row>
    <row r="565" ht="15.75" customHeight="1">
      <c r="F565" s="140"/>
      <c r="H565" s="162"/>
      <c r="I565" s="163"/>
      <c r="J565" s="163"/>
      <c r="K565" s="163"/>
    </row>
    <row r="566" ht="15.75" customHeight="1">
      <c r="F566" s="140"/>
      <c r="H566" s="162"/>
      <c r="I566" s="163"/>
      <c r="J566" s="163"/>
      <c r="K566" s="163"/>
    </row>
    <row r="567" ht="15.75" customHeight="1">
      <c r="F567" s="140"/>
      <c r="H567" s="162"/>
      <c r="I567" s="163"/>
      <c r="J567" s="163"/>
      <c r="K567" s="163"/>
    </row>
    <row r="568" ht="15.75" customHeight="1">
      <c r="F568" s="140"/>
      <c r="H568" s="162"/>
      <c r="I568" s="163"/>
      <c r="J568" s="163"/>
      <c r="K568" s="163"/>
    </row>
    <row r="569" ht="15.75" customHeight="1">
      <c r="F569" s="140"/>
      <c r="H569" s="162"/>
      <c r="I569" s="163"/>
      <c r="J569" s="163"/>
      <c r="K569" s="163"/>
    </row>
    <row r="570" ht="15.75" customHeight="1">
      <c r="F570" s="140"/>
      <c r="H570" s="162"/>
      <c r="I570" s="163"/>
      <c r="J570" s="163"/>
      <c r="K570" s="163"/>
    </row>
    <row r="571" ht="15.75" customHeight="1">
      <c r="F571" s="140"/>
      <c r="H571" s="162"/>
      <c r="I571" s="163"/>
      <c r="J571" s="163"/>
      <c r="K571" s="163"/>
    </row>
    <row r="572" ht="15.75" customHeight="1">
      <c r="F572" s="140"/>
      <c r="H572" s="162"/>
      <c r="I572" s="163"/>
      <c r="J572" s="163"/>
      <c r="K572" s="163"/>
    </row>
    <row r="573" ht="15.75" customHeight="1">
      <c r="F573" s="140"/>
      <c r="H573" s="162"/>
      <c r="I573" s="163"/>
      <c r="J573" s="163"/>
      <c r="K573" s="163"/>
    </row>
    <row r="574" ht="15.75" customHeight="1">
      <c r="F574" s="140"/>
      <c r="H574" s="162"/>
      <c r="I574" s="163"/>
      <c r="J574" s="163"/>
      <c r="K574" s="163"/>
    </row>
    <row r="575" ht="15.75" customHeight="1">
      <c r="F575" s="140"/>
      <c r="H575" s="162"/>
      <c r="I575" s="163"/>
      <c r="J575" s="163"/>
      <c r="K575" s="163"/>
    </row>
    <row r="576" ht="15.75" customHeight="1">
      <c r="F576" s="140"/>
      <c r="H576" s="162"/>
      <c r="I576" s="163"/>
      <c r="J576" s="163"/>
      <c r="K576" s="163"/>
    </row>
    <row r="577" ht="15.75" customHeight="1">
      <c r="F577" s="140"/>
      <c r="H577" s="162"/>
      <c r="I577" s="163"/>
      <c r="J577" s="163"/>
      <c r="K577" s="163"/>
    </row>
    <row r="578" ht="15.75" customHeight="1">
      <c r="F578" s="140"/>
      <c r="H578" s="162"/>
      <c r="I578" s="163"/>
      <c r="J578" s="163"/>
      <c r="K578" s="163"/>
    </row>
    <row r="579" ht="15.75" customHeight="1">
      <c r="F579" s="140"/>
      <c r="H579" s="162"/>
      <c r="I579" s="163"/>
      <c r="J579" s="163"/>
      <c r="K579" s="163"/>
    </row>
    <row r="580" ht="15.75" customHeight="1">
      <c r="F580" s="140"/>
      <c r="H580" s="162"/>
      <c r="I580" s="163"/>
      <c r="J580" s="163"/>
      <c r="K580" s="163"/>
    </row>
    <row r="581" ht="15.75" customHeight="1">
      <c r="F581" s="140"/>
      <c r="H581" s="162"/>
      <c r="I581" s="163"/>
      <c r="J581" s="163"/>
      <c r="K581" s="163"/>
    </row>
    <row r="582" ht="15.75" customHeight="1">
      <c r="F582" s="140"/>
      <c r="H582" s="162"/>
      <c r="I582" s="163"/>
      <c r="J582" s="163"/>
      <c r="K582" s="163"/>
    </row>
    <row r="583" ht="15.75" customHeight="1">
      <c r="F583" s="140"/>
      <c r="H583" s="162"/>
      <c r="I583" s="163"/>
      <c r="J583" s="163"/>
      <c r="K583" s="163"/>
    </row>
    <row r="584" ht="15.75" customHeight="1">
      <c r="F584" s="140"/>
      <c r="H584" s="162"/>
      <c r="I584" s="163"/>
      <c r="J584" s="163"/>
      <c r="K584" s="163"/>
    </row>
    <row r="585" ht="15.75" customHeight="1">
      <c r="F585" s="140"/>
      <c r="H585" s="162"/>
      <c r="I585" s="163"/>
      <c r="J585" s="163"/>
      <c r="K585" s="163"/>
    </row>
    <row r="586" ht="15.75" customHeight="1">
      <c r="F586" s="140"/>
      <c r="H586" s="162"/>
      <c r="I586" s="163"/>
      <c r="J586" s="163"/>
      <c r="K586" s="163"/>
    </row>
    <row r="587" ht="15.75" customHeight="1">
      <c r="F587" s="140"/>
      <c r="H587" s="162"/>
      <c r="I587" s="163"/>
      <c r="J587" s="163"/>
      <c r="K587" s="163"/>
    </row>
    <row r="588" ht="15.75" customHeight="1">
      <c r="F588" s="140"/>
      <c r="H588" s="162"/>
      <c r="I588" s="163"/>
      <c r="J588" s="163"/>
      <c r="K588" s="163"/>
    </row>
    <row r="589" ht="15.75" customHeight="1">
      <c r="F589" s="140"/>
      <c r="H589" s="162"/>
      <c r="I589" s="163"/>
      <c r="J589" s="163"/>
      <c r="K589" s="163"/>
    </row>
    <row r="590" ht="15.75" customHeight="1">
      <c r="F590" s="140"/>
      <c r="H590" s="162"/>
      <c r="I590" s="163"/>
      <c r="J590" s="163"/>
      <c r="K590" s="163"/>
    </row>
    <row r="591" ht="15.75" customHeight="1">
      <c r="F591" s="140"/>
      <c r="H591" s="162"/>
      <c r="I591" s="163"/>
      <c r="J591" s="163"/>
      <c r="K591" s="163"/>
    </row>
    <row r="592" ht="15.75" customHeight="1">
      <c r="F592" s="140"/>
      <c r="H592" s="162"/>
      <c r="I592" s="163"/>
      <c r="J592" s="163"/>
      <c r="K592" s="163"/>
    </row>
    <row r="593" ht="15.75" customHeight="1">
      <c r="F593" s="140"/>
      <c r="H593" s="162"/>
      <c r="I593" s="163"/>
      <c r="J593" s="163"/>
      <c r="K593" s="163"/>
    </row>
    <row r="594" ht="15.75" customHeight="1">
      <c r="F594" s="140"/>
      <c r="H594" s="162"/>
      <c r="I594" s="163"/>
      <c r="J594" s="163"/>
      <c r="K594" s="163"/>
    </row>
    <row r="595" ht="15.75" customHeight="1">
      <c r="F595" s="140"/>
      <c r="H595" s="162"/>
      <c r="I595" s="163"/>
      <c r="J595" s="163"/>
      <c r="K595" s="163"/>
    </row>
    <row r="596" ht="15.75" customHeight="1">
      <c r="F596" s="140"/>
      <c r="H596" s="162"/>
      <c r="I596" s="163"/>
      <c r="J596" s="163"/>
      <c r="K596" s="163"/>
    </row>
    <row r="597" ht="15.75" customHeight="1">
      <c r="F597" s="140"/>
      <c r="H597" s="162"/>
      <c r="I597" s="163"/>
      <c r="J597" s="163"/>
      <c r="K597" s="163"/>
    </row>
    <row r="598" ht="15.75" customHeight="1">
      <c r="F598" s="140"/>
      <c r="H598" s="162"/>
      <c r="I598" s="163"/>
      <c r="J598" s="163"/>
      <c r="K598" s="163"/>
    </row>
    <row r="599" ht="15.75" customHeight="1">
      <c r="F599" s="140"/>
      <c r="H599" s="162"/>
      <c r="I599" s="163"/>
      <c r="J599" s="163"/>
      <c r="K599" s="163"/>
    </row>
    <row r="600" ht="15.75" customHeight="1">
      <c r="F600" s="140"/>
      <c r="H600" s="162"/>
      <c r="I600" s="163"/>
      <c r="J600" s="163"/>
      <c r="K600" s="163"/>
    </row>
    <row r="601" ht="15.75" customHeight="1">
      <c r="F601" s="140"/>
      <c r="H601" s="162"/>
      <c r="I601" s="163"/>
      <c r="J601" s="163"/>
      <c r="K601" s="163"/>
    </row>
    <row r="602" ht="15.75" customHeight="1">
      <c r="F602" s="140"/>
      <c r="H602" s="162"/>
      <c r="I602" s="163"/>
      <c r="J602" s="163"/>
      <c r="K602" s="163"/>
    </row>
    <row r="603" ht="15.75" customHeight="1">
      <c r="F603" s="140"/>
      <c r="H603" s="162"/>
      <c r="I603" s="163"/>
      <c r="J603" s="163"/>
      <c r="K603" s="163"/>
    </row>
    <row r="604" ht="15.75" customHeight="1">
      <c r="F604" s="140"/>
      <c r="H604" s="162"/>
      <c r="I604" s="163"/>
      <c r="J604" s="163"/>
      <c r="K604" s="163"/>
    </row>
    <row r="605" ht="15.75" customHeight="1">
      <c r="F605" s="140"/>
      <c r="H605" s="162"/>
      <c r="I605" s="163"/>
      <c r="J605" s="163"/>
      <c r="K605" s="163"/>
    </row>
    <row r="606" ht="15.75" customHeight="1">
      <c r="F606" s="140"/>
      <c r="H606" s="162"/>
      <c r="I606" s="163"/>
      <c r="J606" s="163"/>
      <c r="K606" s="163"/>
    </row>
    <row r="607" ht="15.75" customHeight="1">
      <c r="F607" s="140"/>
      <c r="H607" s="162"/>
      <c r="I607" s="163"/>
      <c r="J607" s="163"/>
      <c r="K607" s="163"/>
    </row>
    <row r="608" ht="15.75" customHeight="1">
      <c r="F608" s="140"/>
      <c r="H608" s="162"/>
      <c r="I608" s="163"/>
      <c r="J608" s="163"/>
      <c r="K608" s="163"/>
    </row>
    <row r="609" ht="15.75" customHeight="1">
      <c r="F609" s="140"/>
      <c r="H609" s="162"/>
      <c r="I609" s="163"/>
      <c r="J609" s="163"/>
      <c r="K609" s="163"/>
    </row>
    <row r="610" ht="15.75" customHeight="1">
      <c r="F610" s="140"/>
      <c r="H610" s="162"/>
      <c r="I610" s="163"/>
      <c r="J610" s="163"/>
      <c r="K610" s="163"/>
    </row>
    <row r="611" ht="15.75" customHeight="1">
      <c r="F611" s="140"/>
      <c r="H611" s="162"/>
      <c r="I611" s="163"/>
      <c r="J611" s="163"/>
      <c r="K611" s="163"/>
    </row>
    <row r="612" ht="15.75" customHeight="1">
      <c r="F612" s="140"/>
      <c r="H612" s="162"/>
      <c r="I612" s="163"/>
      <c r="J612" s="163"/>
      <c r="K612" s="163"/>
    </row>
    <row r="613" ht="15.75" customHeight="1">
      <c r="F613" s="140"/>
      <c r="H613" s="162"/>
      <c r="I613" s="163"/>
      <c r="J613" s="163"/>
      <c r="K613" s="163"/>
    </row>
    <row r="614" ht="15.75" customHeight="1">
      <c r="F614" s="140"/>
      <c r="H614" s="162"/>
      <c r="I614" s="163"/>
      <c r="J614" s="163"/>
      <c r="K614" s="163"/>
    </row>
    <row r="615" ht="15.75" customHeight="1">
      <c r="F615" s="140"/>
      <c r="H615" s="162"/>
      <c r="I615" s="163"/>
      <c r="J615" s="163"/>
      <c r="K615" s="163"/>
    </row>
    <row r="616" ht="15.75" customHeight="1">
      <c r="F616" s="140"/>
      <c r="H616" s="162"/>
      <c r="I616" s="163"/>
      <c r="J616" s="163"/>
      <c r="K616" s="163"/>
    </row>
    <row r="617" ht="15.75" customHeight="1">
      <c r="F617" s="140"/>
      <c r="H617" s="162"/>
      <c r="I617" s="163"/>
      <c r="J617" s="163"/>
      <c r="K617" s="163"/>
    </row>
    <row r="618" ht="15.75" customHeight="1">
      <c r="F618" s="140"/>
      <c r="H618" s="162"/>
      <c r="I618" s="163"/>
      <c r="J618" s="163"/>
      <c r="K618" s="163"/>
    </row>
    <row r="619" ht="15.75" customHeight="1">
      <c r="F619" s="140"/>
      <c r="H619" s="162"/>
      <c r="I619" s="163"/>
      <c r="J619" s="163"/>
      <c r="K619" s="163"/>
    </row>
    <row r="620" ht="15.75" customHeight="1">
      <c r="F620" s="140"/>
      <c r="H620" s="162"/>
      <c r="I620" s="163"/>
      <c r="J620" s="163"/>
      <c r="K620" s="163"/>
    </row>
    <row r="621" ht="15.75" customHeight="1">
      <c r="F621" s="140"/>
      <c r="H621" s="162"/>
      <c r="I621" s="163"/>
      <c r="J621" s="163"/>
      <c r="K621" s="163"/>
    </row>
    <row r="622" ht="15.75" customHeight="1">
      <c r="F622" s="140"/>
      <c r="H622" s="162"/>
      <c r="I622" s="163"/>
      <c r="J622" s="163"/>
      <c r="K622" s="163"/>
    </row>
    <row r="623" ht="15.75" customHeight="1">
      <c r="F623" s="140"/>
      <c r="H623" s="162"/>
      <c r="I623" s="163"/>
      <c r="J623" s="163"/>
      <c r="K623" s="163"/>
    </row>
    <row r="624" ht="15.75" customHeight="1">
      <c r="F624" s="140"/>
      <c r="H624" s="162"/>
      <c r="I624" s="163"/>
      <c r="J624" s="163"/>
      <c r="K624" s="163"/>
    </row>
    <row r="625" ht="15.75" customHeight="1">
      <c r="F625" s="140"/>
      <c r="H625" s="162"/>
      <c r="I625" s="163"/>
      <c r="J625" s="163"/>
      <c r="K625" s="163"/>
    </row>
    <row r="626" ht="15.75" customHeight="1">
      <c r="F626" s="140"/>
      <c r="H626" s="162"/>
      <c r="I626" s="163"/>
      <c r="J626" s="163"/>
      <c r="K626" s="163"/>
    </row>
    <row r="627" ht="15.75" customHeight="1">
      <c r="F627" s="140"/>
      <c r="H627" s="162"/>
      <c r="I627" s="163"/>
      <c r="J627" s="163"/>
      <c r="K627" s="163"/>
    </row>
    <row r="628" ht="15.75" customHeight="1">
      <c r="F628" s="140"/>
      <c r="H628" s="162"/>
      <c r="I628" s="163"/>
      <c r="J628" s="163"/>
      <c r="K628" s="163"/>
    </row>
    <row r="629" ht="15.75" customHeight="1">
      <c r="F629" s="140"/>
      <c r="H629" s="162"/>
      <c r="I629" s="163"/>
      <c r="J629" s="163"/>
      <c r="K629" s="163"/>
    </row>
    <row r="630" ht="15.75" customHeight="1">
      <c r="F630" s="140"/>
      <c r="H630" s="162"/>
      <c r="I630" s="163"/>
      <c r="J630" s="163"/>
      <c r="K630" s="163"/>
    </row>
    <row r="631" ht="15.75" customHeight="1">
      <c r="F631" s="140"/>
      <c r="H631" s="162"/>
      <c r="I631" s="163"/>
      <c r="J631" s="163"/>
      <c r="K631" s="163"/>
    </row>
    <row r="632" ht="15.75" customHeight="1">
      <c r="F632" s="140"/>
      <c r="H632" s="162"/>
      <c r="I632" s="163"/>
      <c r="J632" s="163"/>
      <c r="K632" s="163"/>
    </row>
    <row r="633" ht="15.75" customHeight="1">
      <c r="F633" s="140"/>
      <c r="H633" s="162"/>
      <c r="I633" s="163"/>
      <c r="J633" s="163"/>
      <c r="K633" s="163"/>
    </row>
    <row r="634" ht="15.75" customHeight="1">
      <c r="F634" s="140"/>
      <c r="H634" s="162"/>
      <c r="I634" s="163"/>
      <c r="J634" s="163"/>
      <c r="K634" s="163"/>
    </row>
    <row r="635" ht="15.75" customHeight="1">
      <c r="F635" s="140"/>
      <c r="H635" s="162"/>
      <c r="I635" s="163"/>
      <c r="J635" s="163"/>
      <c r="K635" s="163"/>
    </row>
    <row r="636" ht="15.75" customHeight="1">
      <c r="F636" s="140"/>
      <c r="H636" s="162"/>
      <c r="I636" s="163"/>
      <c r="J636" s="163"/>
      <c r="K636" s="163"/>
    </row>
    <row r="637" ht="15.75" customHeight="1">
      <c r="F637" s="140"/>
      <c r="H637" s="162"/>
      <c r="I637" s="163"/>
      <c r="J637" s="163"/>
      <c r="K637" s="163"/>
    </row>
    <row r="638" ht="15.75" customHeight="1">
      <c r="F638" s="140"/>
      <c r="H638" s="162"/>
      <c r="I638" s="163"/>
      <c r="J638" s="163"/>
      <c r="K638" s="163"/>
    </row>
    <row r="639" ht="15.75" customHeight="1">
      <c r="F639" s="140"/>
      <c r="H639" s="162"/>
      <c r="I639" s="163"/>
      <c r="J639" s="163"/>
      <c r="K639" s="163"/>
    </row>
    <row r="640" ht="15.75" customHeight="1">
      <c r="F640" s="140"/>
      <c r="H640" s="162"/>
      <c r="I640" s="163"/>
      <c r="J640" s="163"/>
      <c r="K640" s="163"/>
    </row>
    <row r="641" ht="15.75" customHeight="1">
      <c r="F641" s="140"/>
      <c r="H641" s="162"/>
      <c r="I641" s="163"/>
      <c r="J641" s="163"/>
      <c r="K641" s="163"/>
    </row>
    <row r="642" ht="15.75" customHeight="1">
      <c r="F642" s="140"/>
      <c r="H642" s="162"/>
      <c r="I642" s="163"/>
      <c r="J642" s="163"/>
      <c r="K642" s="163"/>
    </row>
    <row r="643" ht="15.75" customHeight="1">
      <c r="F643" s="140"/>
      <c r="H643" s="162"/>
      <c r="I643" s="163"/>
      <c r="J643" s="163"/>
      <c r="K643" s="163"/>
    </row>
    <row r="644" ht="15.75" customHeight="1">
      <c r="F644" s="140"/>
      <c r="H644" s="162"/>
      <c r="I644" s="163"/>
      <c r="J644" s="163"/>
      <c r="K644" s="163"/>
    </row>
    <row r="645" ht="15.75" customHeight="1">
      <c r="F645" s="140"/>
      <c r="H645" s="162"/>
      <c r="I645" s="163"/>
      <c r="J645" s="163"/>
      <c r="K645" s="163"/>
    </row>
    <row r="646" ht="15.75" customHeight="1">
      <c r="F646" s="140"/>
      <c r="H646" s="162"/>
      <c r="I646" s="163"/>
      <c r="J646" s="163"/>
      <c r="K646" s="163"/>
    </row>
    <row r="647" ht="15.75" customHeight="1">
      <c r="F647" s="140"/>
      <c r="H647" s="162"/>
      <c r="I647" s="163"/>
      <c r="J647" s="163"/>
      <c r="K647" s="163"/>
    </row>
    <row r="648" ht="15.75" customHeight="1">
      <c r="F648" s="140"/>
      <c r="H648" s="162"/>
      <c r="I648" s="163"/>
      <c r="J648" s="163"/>
      <c r="K648" s="163"/>
    </row>
    <row r="649" ht="15.75" customHeight="1">
      <c r="F649" s="140"/>
      <c r="H649" s="162"/>
      <c r="I649" s="163"/>
      <c r="J649" s="163"/>
      <c r="K649" s="163"/>
    </row>
    <row r="650" ht="15.75" customHeight="1">
      <c r="F650" s="140"/>
      <c r="H650" s="162"/>
      <c r="I650" s="163"/>
      <c r="J650" s="163"/>
      <c r="K650" s="163"/>
    </row>
    <row r="651" ht="15.75" customHeight="1">
      <c r="F651" s="140"/>
      <c r="H651" s="162"/>
      <c r="I651" s="163"/>
      <c r="J651" s="163"/>
      <c r="K651" s="163"/>
    </row>
    <row r="652" ht="15.75" customHeight="1">
      <c r="F652" s="140"/>
      <c r="H652" s="162"/>
      <c r="I652" s="163"/>
      <c r="J652" s="163"/>
      <c r="K652" s="163"/>
    </row>
    <row r="653" ht="15.75" customHeight="1">
      <c r="F653" s="140"/>
      <c r="H653" s="162"/>
      <c r="I653" s="163"/>
      <c r="J653" s="163"/>
      <c r="K653" s="163"/>
    </row>
    <row r="654" ht="15.75" customHeight="1">
      <c r="F654" s="140"/>
      <c r="H654" s="162"/>
      <c r="I654" s="163"/>
      <c r="J654" s="163"/>
      <c r="K654" s="163"/>
    </row>
    <row r="655" ht="15.75" customHeight="1">
      <c r="F655" s="140"/>
      <c r="H655" s="162"/>
      <c r="I655" s="163"/>
      <c r="J655" s="163"/>
      <c r="K655" s="163"/>
    </row>
    <row r="656" ht="15.75" customHeight="1">
      <c r="F656" s="140"/>
      <c r="H656" s="162"/>
      <c r="I656" s="163"/>
      <c r="J656" s="163"/>
      <c r="K656" s="163"/>
    </row>
    <row r="657" ht="15.75" customHeight="1">
      <c r="F657" s="140"/>
      <c r="H657" s="162"/>
      <c r="I657" s="163"/>
      <c r="J657" s="163"/>
      <c r="K657" s="163"/>
    </row>
    <row r="658" ht="15.75" customHeight="1">
      <c r="F658" s="140"/>
      <c r="H658" s="162"/>
      <c r="I658" s="163"/>
      <c r="J658" s="163"/>
      <c r="K658" s="163"/>
    </row>
    <row r="659" ht="15.75" customHeight="1">
      <c r="F659" s="140"/>
      <c r="H659" s="162"/>
      <c r="I659" s="163"/>
      <c r="J659" s="163"/>
      <c r="K659" s="163"/>
    </row>
    <row r="660" ht="15.75" customHeight="1">
      <c r="F660" s="140"/>
      <c r="H660" s="162"/>
      <c r="I660" s="163"/>
      <c r="J660" s="163"/>
      <c r="K660" s="163"/>
    </row>
    <row r="661" ht="15.75" customHeight="1">
      <c r="F661" s="140"/>
      <c r="H661" s="162"/>
      <c r="I661" s="163"/>
      <c r="J661" s="163"/>
      <c r="K661" s="163"/>
    </row>
    <row r="662" ht="15.75" customHeight="1">
      <c r="F662" s="140"/>
      <c r="H662" s="162"/>
      <c r="I662" s="163"/>
      <c r="J662" s="163"/>
      <c r="K662" s="163"/>
    </row>
    <row r="663" ht="15.75" customHeight="1">
      <c r="F663" s="140"/>
      <c r="H663" s="162"/>
      <c r="I663" s="163"/>
      <c r="J663" s="163"/>
      <c r="K663" s="163"/>
    </row>
    <row r="664" ht="15.75" customHeight="1">
      <c r="F664" s="140"/>
      <c r="H664" s="162"/>
      <c r="I664" s="163"/>
      <c r="J664" s="163"/>
      <c r="K664" s="163"/>
    </row>
    <row r="665" ht="15.75" customHeight="1">
      <c r="F665" s="140"/>
      <c r="H665" s="162"/>
      <c r="I665" s="163"/>
      <c r="J665" s="163"/>
      <c r="K665" s="163"/>
    </row>
    <row r="666" ht="15.75" customHeight="1">
      <c r="F666" s="140"/>
      <c r="H666" s="162"/>
      <c r="I666" s="163"/>
      <c r="J666" s="163"/>
      <c r="K666" s="163"/>
    </row>
    <row r="667" ht="15.75" customHeight="1">
      <c r="F667" s="140"/>
      <c r="H667" s="162"/>
      <c r="I667" s="163"/>
      <c r="J667" s="163"/>
      <c r="K667" s="163"/>
    </row>
    <row r="668" ht="15.75" customHeight="1">
      <c r="F668" s="140"/>
      <c r="H668" s="162"/>
      <c r="I668" s="163"/>
      <c r="J668" s="163"/>
      <c r="K668" s="163"/>
    </row>
    <row r="669" ht="15.75" customHeight="1">
      <c r="F669" s="140"/>
      <c r="H669" s="162"/>
      <c r="I669" s="163"/>
      <c r="J669" s="163"/>
      <c r="K669" s="163"/>
    </row>
    <row r="670" ht="15.75" customHeight="1">
      <c r="F670" s="140"/>
      <c r="H670" s="162"/>
      <c r="I670" s="163"/>
      <c r="J670" s="163"/>
      <c r="K670" s="163"/>
    </row>
    <row r="671" ht="15.75" customHeight="1">
      <c r="F671" s="140"/>
      <c r="H671" s="162"/>
      <c r="I671" s="163"/>
      <c r="J671" s="163"/>
      <c r="K671" s="163"/>
    </row>
    <row r="672" ht="15.75" customHeight="1">
      <c r="F672" s="140"/>
      <c r="H672" s="162"/>
      <c r="I672" s="163"/>
      <c r="J672" s="163"/>
      <c r="K672" s="163"/>
    </row>
    <row r="673" ht="15.75" customHeight="1">
      <c r="F673" s="140"/>
      <c r="H673" s="162"/>
      <c r="I673" s="163"/>
      <c r="J673" s="163"/>
      <c r="K673" s="163"/>
    </row>
    <row r="674" ht="15.75" customHeight="1">
      <c r="F674" s="140"/>
      <c r="H674" s="162"/>
      <c r="I674" s="163"/>
      <c r="J674" s="163"/>
      <c r="K674" s="163"/>
    </row>
    <row r="675" ht="15.75" customHeight="1">
      <c r="F675" s="140"/>
      <c r="H675" s="162"/>
      <c r="I675" s="163"/>
      <c r="J675" s="163"/>
      <c r="K675" s="163"/>
    </row>
    <row r="676" ht="15.75" customHeight="1">
      <c r="F676" s="140"/>
      <c r="H676" s="162"/>
      <c r="I676" s="163"/>
      <c r="J676" s="163"/>
      <c r="K676" s="163"/>
    </row>
    <row r="677" ht="15.75" customHeight="1">
      <c r="F677" s="140"/>
      <c r="H677" s="162"/>
      <c r="I677" s="163"/>
      <c r="J677" s="163"/>
      <c r="K677" s="163"/>
    </row>
    <row r="678" ht="15.75" customHeight="1">
      <c r="F678" s="140"/>
      <c r="H678" s="162"/>
      <c r="I678" s="163"/>
      <c r="J678" s="163"/>
      <c r="K678" s="163"/>
    </row>
    <row r="679" ht="15.75" customHeight="1">
      <c r="F679" s="140"/>
      <c r="H679" s="162"/>
      <c r="I679" s="163"/>
      <c r="J679" s="163"/>
      <c r="K679" s="163"/>
    </row>
    <row r="680" ht="15.75" customHeight="1">
      <c r="F680" s="140"/>
      <c r="H680" s="162"/>
      <c r="I680" s="163"/>
      <c r="J680" s="163"/>
      <c r="K680" s="163"/>
    </row>
    <row r="681" ht="15.75" customHeight="1">
      <c r="F681" s="140"/>
      <c r="H681" s="162"/>
      <c r="I681" s="163"/>
      <c r="J681" s="163"/>
      <c r="K681" s="163"/>
    </row>
    <row r="682" ht="15.75" customHeight="1">
      <c r="F682" s="140"/>
      <c r="H682" s="162"/>
      <c r="I682" s="163"/>
      <c r="J682" s="163"/>
      <c r="K682" s="163"/>
    </row>
    <row r="683" ht="15.75" customHeight="1">
      <c r="F683" s="140"/>
      <c r="H683" s="162"/>
      <c r="I683" s="163"/>
      <c r="J683" s="163"/>
      <c r="K683" s="163"/>
    </row>
    <row r="684" ht="15.75" customHeight="1">
      <c r="F684" s="140"/>
      <c r="H684" s="162"/>
      <c r="I684" s="163"/>
      <c r="J684" s="163"/>
      <c r="K684" s="163"/>
    </row>
    <row r="685" ht="15.75" customHeight="1">
      <c r="F685" s="140"/>
      <c r="H685" s="162"/>
      <c r="I685" s="163"/>
      <c r="J685" s="163"/>
      <c r="K685" s="163"/>
    </row>
    <row r="686" ht="15.75" customHeight="1">
      <c r="F686" s="140"/>
      <c r="H686" s="162"/>
      <c r="I686" s="163"/>
      <c r="J686" s="163"/>
      <c r="K686" s="163"/>
    </row>
    <row r="687" ht="15.75" customHeight="1">
      <c r="F687" s="140"/>
      <c r="H687" s="162"/>
      <c r="I687" s="163"/>
      <c r="J687" s="163"/>
      <c r="K687" s="163"/>
    </row>
    <row r="688" ht="15.75" customHeight="1">
      <c r="F688" s="140"/>
      <c r="H688" s="162"/>
      <c r="I688" s="163"/>
      <c r="J688" s="163"/>
      <c r="K688" s="163"/>
    </row>
    <row r="689" ht="15.75" customHeight="1">
      <c r="F689" s="140"/>
      <c r="H689" s="162"/>
      <c r="I689" s="163"/>
      <c r="J689" s="163"/>
      <c r="K689" s="163"/>
    </row>
    <row r="690" ht="15.75" customHeight="1">
      <c r="F690" s="140"/>
      <c r="H690" s="162"/>
      <c r="I690" s="163"/>
      <c r="J690" s="163"/>
      <c r="K690" s="163"/>
    </row>
    <row r="691" ht="15.75" customHeight="1">
      <c r="F691" s="140"/>
      <c r="H691" s="162"/>
      <c r="I691" s="163"/>
      <c r="J691" s="163"/>
      <c r="K691" s="163"/>
    </row>
    <row r="692" ht="15.75" customHeight="1">
      <c r="F692" s="140"/>
      <c r="H692" s="162"/>
      <c r="I692" s="163"/>
      <c r="J692" s="163"/>
      <c r="K692" s="163"/>
    </row>
    <row r="693" ht="15.75" customHeight="1">
      <c r="F693" s="140"/>
      <c r="H693" s="162"/>
      <c r="I693" s="163"/>
      <c r="J693" s="163"/>
      <c r="K693" s="163"/>
    </row>
    <row r="694" ht="15.75" customHeight="1">
      <c r="F694" s="140"/>
      <c r="H694" s="162"/>
      <c r="I694" s="163"/>
      <c r="J694" s="163"/>
      <c r="K694" s="163"/>
    </row>
    <row r="695" ht="15.75" customHeight="1">
      <c r="F695" s="140"/>
      <c r="H695" s="162"/>
      <c r="I695" s="163"/>
      <c r="J695" s="163"/>
      <c r="K695" s="163"/>
    </row>
    <row r="696" ht="15.75" customHeight="1">
      <c r="F696" s="140"/>
      <c r="H696" s="162"/>
      <c r="I696" s="163"/>
      <c r="J696" s="163"/>
      <c r="K696" s="163"/>
    </row>
    <row r="697" ht="15.75" customHeight="1">
      <c r="F697" s="140"/>
      <c r="H697" s="162"/>
      <c r="I697" s="163"/>
      <c r="J697" s="163"/>
      <c r="K697" s="163"/>
    </row>
    <row r="698" ht="15.75" customHeight="1">
      <c r="F698" s="140"/>
      <c r="H698" s="162"/>
      <c r="I698" s="163"/>
      <c r="J698" s="163"/>
      <c r="K698" s="163"/>
    </row>
    <row r="699" ht="15.75" customHeight="1">
      <c r="F699" s="140"/>
      <c r="H699" s="162"/>
      <c r="I699" s="163"/>
      <c r="J699" s="163"/>
      <c r="K699" s="163"/>
    </row>
    <row r="700" ht="15.75" customHeight="1">
      <c r="F700" s="140"/>
      <c r="H700" s="162"/>
      <c r="I700" s="163"/>
      <c r="J700" s="163"/>
      <c r="K700" s="163"/>
    </row>
    <row r="701" ht="15.75" customHeight="1">
      <c r="F701" s="140"/>
      <c r="H701" s="162"/>
      <c r="I701" s="163"/>
      <c r="J701" s="163"/>
      <c r="K701" s="163"/>
    </row>
    <row r="702" ht="15.75" customHeight="1">
      <c r="F702" s="140"/>
      <c r="H702" s="162"/>
      <c r="I702" s="163"/>
      <c r="J702" s="163"/>
      <c r="K702" s="163"/>
    </row>
    <row r="703" ht="15.75" customHeight="1">
      <c r="F703" s="140"/>
      <c r="H703" s="162"/>
      <c r="I703" s="163"/>
      <c r="J703" s="163"/>
      <c r="K703" s="163"/>
    </row>
    <row r="704" ht="15.75" customHeight="1">
      <c r="F704" s="140"/>
      <c r="H704" s="162"/>
      <c r="I704" s="163"/>
      <c r="J704" s="163"/>
      <c r="K704" s="163"/>
    </row>
    <row r="705" ht="15.75" customHeight="1">
      <c r="F705" s="140"/>
      <c r="H705" s="162"/>
      <c r="I705" s="163"/>
      <c r="J705" s="163"/>
      <c r="K705" s="163"/>
    </row>
    <row r="706" ht="15.75" customHeight="1">
      <c r="F706" s="140"/>
      <c r="H706" s="162"/>
      <c r="I706" s="163"/>
      <c r="J706" s="163"/>
      <c r="K706" s="163"/>
    </row>
    <row r="707" ht="15.75" customHeight="1">
      <c r="F707" s="140"/>
      <c r="H707" s="162"/>
      <c r="I707" s="163"/>
      <c r="J707" s="163"/>
      <c r="K707" s="163"/>
    </row>
    <row r="708" ht="15.75" customHeight="1">
      <c r="F708" s="140"/>
      <c r="H708" s="162"/>
      <c r="I708" s="163"/>
      <c r="J708" s="163"/>
      <c r="K708" s="163"/>
    </row>
    <row r="709" ht="15.75" customHeight="1">
      <c r="F709" s="140"/>
      <c r="H709" s="162"/>
      <c r="I709" s="163"/>
      <c r="J709" s="163"/>
      <c r="K709" s="163"/>
    </row>
    <row r="710" ht="15.75" customHeight="1">
      <c r="F710" s="140"/>
      <c r="H710" s="162"/>
      <c r="I710" s="163"/>
      <c r="J710" s="163"/>
      <c r="K710" s="163"/>
    </row>
    <row r="711" ht="15.75" customHeight="1">
      <c r="F711" s="140"/>
      <c r="H711" s="162"/>
      <c r="I711" s="163"/>
      <c r="J711" s="163"/>
      <c r="K711" s="163"/>
    </row>
    <row r="712" ht="15.75" customHeight="1">
      <c r="F712" s="140"/>
      <c r="H712" s="162"/>
      <c r="I712" s="163"/>
      <c r="J712" s="163"/>
      <c r="K712" s="163"/>
    </row>
    <row r="713" ht="15.75" customHeight="1">
      <c r="F713" s="140"/>
      <c r="H713" s="162"/>
      <c r="I713" s="163"/>
      <c r="J713" s="163"/>
      <c r="K713" s="163"/>
    </row>
    <row r="714" ht="15.75" customHeight="1">
      <c r="F714" s="140"/>
      <c r="H714" s="162"/>
      <c r="I714" s="163"/>
      <c r="J714" s="163"/>
      <c r="K714" s="163"/>
    </row>
    <row r="715" ht="15.75" customHeight="1">
      <c r="F715" s="140"/>
      <c r="H715" s="162"/>
      <c r="I715" s="163"/>
      <c r="J715" s="163"/>
      <c r="K715" s="163"/>
    </row>
    <row r="716" ht="15.75" customHeight="1">
      <c r="F716" s="140"/>
      <c r="H716" s="162"/>
      <c r="I716" s="163"/>
      <c r="J716" s="163"/>
      <c r="K716" s="163"/>
    </row>
    <row r="717" ht="15.75" customHeight="1">
      <c r="F717" s="140"/>
      <c r="H717" s="162"/>
      <c r="I717" s="163"/>
      <c r="J717" s="163"/>
      <c r="K717" s="163"/>
    </row>
    <row r="718" ht="15.75" customHeight="1">
      <c r="F718" s="140"/>
      <c r="H718" s="162"/>
      <c r="I718" s="163"/>
      <c r="J718" s="163"/>
      <c r="K718" s="163"/>
    </row>
    <row r="719" ht="15.75" customHeight="1">
      <c r="F719" s="140"/>
      <c r="H719" s="162"/>
      <c r="I719" s="163"/>
      <c r="J719" s="163"/>
      <c r="K719" s="163"/>
    </row>
    <row r="720" ht="15.75" customHeight="1">
      <c r="F720" s="140"/>
      <c r="H720" s="162"/>
      <c r="I720" s="163"/>
      <c r="J720" s="163"/>
      <c r="K720" s="163"/>
    </row>
    <row r="721" ht="15.75" customHeight="1">
      <c r="F721" s="140"/>
      <c r="H721" s="162"/>
      <c r="I721" s="163"/>
      <c r="J721" s="163"/>
      <c r="K721" s="163"/>
    </row>
    <row r="722" ht="15.75" customHeight="1">
      <c r="F722" s="140"/>
      <c r="H722" s="162"/>
      <c r="I722" s="163"/>
      <c r="J722" s="163"/>
      <c r="K722" s="163"/>
    </row>
    <row r="723" ht="15.75" customHeight="1">
      <c r="F723" s="140"/>
      <c r="H723" s="162"/>
      <c r="I723" s="163"/>
      <c r="J723" s="163"/>
      <c r="K723" s="163"/>
    </row>
    <row r="724" ht="15.75" customHeight="1">
      <c r="F724" s="140"/>
      <c r="H724" s="162"/>
      <c r="I724" s="163"/>
      <c r="J724" s="163"/>
      <c r="K724" s="163"/>
    </row>
    <row r="725" ht="15.75" customHeight="1">
      <c r="F725" s="140"/>
      <c r="H725" s="162"/>
      <c r="I725" s="163"/>
      <c r="J725" s="163"/>
      <c r="K725" s="163"/>
    </row>
    <row r="726" ht="15.75" customHeight="1">
      <c r="F726" s="140"/>
      <c r="H726" s="162"/>
      <c r="I726" s="163"/>
      <c r="J726" s="163"/>
      <c r="K726" s="163"/>
    </row>
    <row r="727" ht="15.75" customHeight="1">
      <c r="F727" s="140"/>
      <c r="H727" s="162"/>
      <c r="I727" s="163"/>
      <c r="J727" s="163"/>
      <c r="K727" s="163"/>
    </row>
    <row r="728" ht="15.75" customHeight="1">
      <c r="F728" s="140"/>
      <c r="H728" s="162"/>
      <c r="I728" s="163"/>
      <c r="J728" s="163"/>
      <c r="K728" s="163"/>
    </row>
    <row r="729" ht="15.75" customHeight="1">
      <c r="F729" s="140"/>
      <c r="H729" s="162"/>
      <c r="I729" s="163"/>
      <c r="J729" s="163"/>
      <c r="K729" s="163"/>
    </row>
    <row r="730" ht="15.75" customHeight="1">
      <c r="F730" s="140"/>
      <c r="H730" s="162"/>
      <c r="I730" s="163"/>
      <c r="J730" s="163"/>
      <c r="K730" s="163"/>
    </row>
    <row r="731" ht="15.75" customHeight="1">
      <c r="F731" s="140"/>
      <c r="H731" s="162"/>
      <c r="I731" s="163"/>
      <c r="J731" s="163"/>
      <c r="K731" s="163"/>
    </row>
    <row r="732" ht="15.75" customHeight="1">
      <c r="F732" s="140"/>
      <c r="H732" s="162"/>
      <c r="I732" s="163"/>
      <c r="J732" s="163"/>
      <c r="K732" s="163"/>
    </row>
    <row r="733" ht="15.75" customHeight="1">
      <c r="F733" s="140"/>
      <c r="H733" s="162"/>
      <c r="I733" s="163"/>
      <c r="J733" s="163"/>
      <c r="K733" s="163"/>
    </row>
    <row r="734" ht="15.75" customHeight="1">
      <c r="F734" s="140"/>
      <c r="H734" s="162"/>
      <c r="I734" s="163"/>
      <c r="J734" s="163"/>
      <c r="K734" s="163"/>
    </row>
    <row r="735" ht="15.75" customHeight="1">
      <c r="F735" s="140"/>
      <c r="H735" s="162"/>
      <c r="I735" s="163"/>
      <c r="J735" s="163"/>
      <c r="K735" s="163"/>
    </row>
    <row r="736" ht="15.75" customHeight="1">
      <c r="F736" s="140"/>
      <c r="H736" s="162"/>
      <c r="I736" s="163"/>
      <c r="J736" s="163"/>
      <c r="K736" s="163"/>
    </row>
    <row r="737" ht="15.75" customHeight="1">
      <c r="F737" s="140"/>
      <c r="H737" s="162"/>
      <c r="I737" s="163"/>
      <c r="J737" s="163"/>
      <c r="K737" s="163"/>
    </row>
    <row r="738" ht="15.75" customHeight="1">
      <c r="F738" s="140"/>
      <c r="H738" s="162"/>
      <c r="I738" s="163"/>
      <c r="J738" s="163"/>
      <c r="K738" s="163"/>
    </row>
    <row r="739" ht="15.75" customHeight="1">
      <c r="F739" s="140"/>
      <c r="H739" s="162"/>
      <c r="I739" s="163"/>
      <c r="J739" s="163"/>
      <c r="K739" s="163"/>
    </row>
    <row r="740" ht="15.75" customHeight="1">
      <c r="F740" s="140"/>
      <c r="H740" s="162"/>
      <c r="I740" s="163"/>
      <c r="J740" s="163"/>
      <c r="K740" s="163"/>
    </row>
    <row r="741" ht="15.75" customHeight="1">
      <c r="F741" s="140"/>
      <c r="H741" s="162"/>
      <c r="I741" s="163"/>
      <c r="J741" s="163"/>
      <c r="K741" s="163"/>
    </row>
    <row r="742" ht="15.75" customHeight="1">
      <c r="F742" s="140"/>
      <c r="H742" s="162"/>
      <c r="I742" s="163"/>
      <c r="J742" s="163"/>
      <c r="K742" s="163"/>
    </row>
    <row r="743" ht="15.75" customHeight="1">
      <c r="F743" s="140"/>
      <c r="H743" s="162"/>
      <c r="I743" s="163"/>
      <c r="J743" s="163"/>
      <c r="K743" s="163"/>
    </row>
    <row r="744" ht="15.75" customHeight="1">
      <c r="F744" s="140"/>
      <c r="H744" s="162"/>
      <c r="I744" s="163"/>
      <c r="J744" s="163"/>
      <c r="K744" s="163"/>
    </row>
    <row r="745" ht="15.75" customHeight="1">
      <c r="F745" s="140"/>
      <c r="H745" s="162"/>
      <c r="I745" s="163"/>
      <c r="J745" s="163"/>
      <c r="K745" s="163"/>
    </row>
    <row r="746" ht="15.75" customHeight="1">
      <c r="F746" s="140"/>
      <c r="H746" s="162"/>
      <c r="I746" s="163"/>
      <c r="J746" s="163"/>
      <c r="K746" s="163"/>
    </row>
    <row r="747" ht="15.75" customHeight="1">
      <c r="F747" s="140"/>
      <c r="H747" s="162"/>
      <c r="I747" s="163"/>
      <c r="J747" s="163"/>
      <c r="K747" s="163"/>
    </row>
    <row r="748" ht="15.75" customHeight="1">
      <c r="F748" s="140"/>
      <c r="H748" s="162"/>
      <c r="I748" s="163"/>
      <c r="J748" s="163"/>
      <c r="K748" s="163"/>
    </row>
    <row r="749" ht="15.75" customHeight="1">
      <c r="F749" s="140"/>
      <c r="H749" s="162"/>
      <c r="I749" s="163"/>
      <c r="J749" s="163"/>
      <c r="K749" s="163"/>
    </row>
    <row r="750" ht="15.75" customHeight="1">
      <c r="F750" s="140"/>
      <c r="H750" s="162"/>
      <c r="I750" s="163"/>
      <c r="J750" s="163"/>
      <c r="K750" s="163"/>
    </row>
    <row r="751" ht="15.75" customHeight="1">
      <c r="F751" s="140"/>
      <c r="H751" s="162"/>
      <c r="I751" s="163"/>
      <c r="J751" s="163"/>
      <c r="K751" s="163"/>
    </row>
    <row r="752" ht="15.75" customHeight="1">
      <c r="F752" s="140"/>
      <c r="H752" s="162"/>
      <c r="I752" s="163"/>
      <c r="J752" s="163"/>
      <c r="K752" s="163"/>
    </row>
    <row r="753" ht="15.75" customHeight="1">
      <c r="F753" s="140"/>
      <c r="H753" s="162"/>
      <c r="I753" s="163"/>
      <c r="J753" s="163"/>
      <c r="K753" s="163"/>
    </row>
    <row r="754" ht="15.75" customHeight="1">
      <c r="F754" s="140"/>
      <c r="H754" s="162"/>
      <c r="I754" s="163"/>
      <c r="J754" s="163"/>
      <c r="K754" s="163"/>
    </row>
    <row r="755" ht="15.75" customHeight="1">
      <c r="F755" s="140"/>
      <c r="H755" s="162"/>
      <c r="I755" s="163"/>
      <c r="J755" s="163"/>
      <c r="K755" s="163"/>
    </row>
    <row r="756" ht="15.75" customHeight="1">
      <c r="F756" s="140"/>
      <c r="H756" s="162"/>
      <c r="I756" s="163"/>
      <c r="J756" s="163"/>
      <c r="K756" s="163"/>
    </row>
    <row r="757" ht="15.75" customHeight="1">
      <c r="F757" s="140"/>
      <c r="H757" s="162"/>
      <c r="I757" s="163"/>
      <c r="J757" s="163"/>
      <c r="K757" s="163"/>
    </row>
    <row r="758" ht="15.75" customHeight="1">
      <c r="F758" s="140"/>
      <c r="H758" s="162"/>
      <c r="I758" s="163"/>
      <c r="J758" s="163"/>
      <c r="K758" s="163"/>
    </row>
    <row r="759" ht="15.75" customHeight="1">
      <c r="F759" s="140"/>
      <c r="H759" s="162"/>
      <c r="I759" s="163"/>
      <c r="J759" s="163"/>
      <c r="K759" s="163"/>
    </row>
    <row r="760" ht="15.75" customHeight="1">
      <c r="F760" s="140"/>
      <c r="H760" s="162"/>
      <c r="I760" s="163"/>
      <c r="J760" s="163"/>
      <c r="K760" s="163"/>
    </row>
    <row r="761" ht="15.75" customHeight="1">
      <c r="F761" s="140"/>
      <c r="H761" s="162"/>
      <c r="I761" s="163"/>
      <c r="J761" s="163"/>
      <c r="K761" s="163"/>
    </row>
    <row r="762" ht="15.75" customHeight="1">
      <c r="F762" s="140"/>
      <c r="H762" s="162"/>
      <c r="I762" s="163"/>
      <c r="J762" s="163"/>
      <c r="K762" s="163"/>
    </row>
    <row r="763" ht="15.75" customHeight="1">
      <c r="F763" s="140"/>
      <c r="H763" s="162"/>
      <c r="I763" s="163"/>
      <c r="J763" s="163"/>
      <c r="K763" s="163"/>
    </row>
    <row r="764" ht="15.75" customHeight="1">
      <c r="F764" s="140"/>
      <c r="H764" s="162"/>
      <c r="I764" s="163"/>
      <c r="J764" s="163"/>
      <c r="K764" s="163"/>
    </row>
    <row r="765" ht="15.75" customHeight="1">
      <c r="F765" s="140"/>
      <c r="H765" s="162"/>
      <c r="I765" s="163"/>
      <c r="J765" s="163"/>
      <c r="K765" s="163"/>
    </row>
    <row r="766" ht="15.75" customHeight="1">
      <c r="F766" s="140"/>
      <c r="H766" s="162"/>
      <c r="I766" s="163"/>
      <c r="J766" s="163"/>
      <c r="K766" s="163"/>
    </row>
    <row r="767" ht="15.75" customHeight="1">
      <c r="F767" s="140"/>
      <c r="H767" s="162"/>
      <c r="I767" s="163"/>
      <c r="J767" s="163"/>
      <c r="K767" s="163"/>
    </row>
    <row r="768" ht="15.75" customHeight="1">
      <c r="F768" s="140"/>
      <c r="H768" s="162"/>
      <c r="I768" s="163"/>
      <c r="J768" s="163"/>
      <c r="K768" s="163"/>
    </row>
    <row r="769" ht="15.75" customHeight="1">
      <c r="F769" s="140"/>
      <c r="H769" s="162"/>
      <c r="I769" s="163"/>
      <c r="J769" s="163"/>
      <c r="K769" s="163"/>
    </row>
    <row r="770" ht="15.75" customHeight="1">
      <c r="F770" s="140"/>
      <c r="H770" s="162"/>
      <c r="I770" s="163"/>
      <c r="J770" s="163"/>
      <c r="K770" s="163"/>
    </row>
    <row r="771" ht="15.75" customHeight="1">
      <c r="F771" s="140"/>
      <c r="H771" s="162"/>
      <c r="I771" s="163"/>
      <c r="J771" s="163"/>
      <c r="K771" s="163"/>
    </row>
    <row r="772" ht="15.75" customHeight="1">
      <c r="F772" s="140"/>
      <c r="H772" s="162"/>
      <c r="I772" s="163"/>
      <c r="J772" s="163"/>
      <c r="K772" s="163"/>
    </row>
    <row r="773" ht="15.75" customHeight="1">
      <c r="F773" s="140"/>
      <c r="H773" s="162"/>
      <c r="I773" s="163"/>
      <c r="J773" s="163"/>
      <c r="K773" s="163"/>
    </row>
    <row r="774" ht="15.75" customHeight="1">
      <c r="F774" s="140"/>
      <c r="H774" s="162"/>
      <c r="I774" s="163"/>
      <c r="J774" s="163"/>
      <c r="K774" s="163"/>
    </row>
    <row r="775" ht="15.75" customHeight="1">
      <c r="F775" s="140"/>
      <c r="H775" s="162"/>
      <c r="I775" s="163"/>
      <c r="J775" s="163"/>
      <c r="K775" s="163"/>
    </row>
    <row r="776" ht="15.75" customHeight="1">
      <c r="F776" s="140"/>
      <c r="H776" s="162"/>
      <c r="I776" s="163"/>
      <c r="J776" s="163"/>
      <c r="K776" s="163"/>
    </row>
    <row r="777" ht="15.75" customHeight="1">
      <c r="F777" s="140"/>
      <c r="H777" s="162"/>
      <c r="I777" s="163"/>
      <c r="J777" s="163"/>
      <c r="K777" s="163"/>
    </row>
    <row r="778" ht="15.75" customHeight="1">
      <c r="F778" s="140"/>
      <c r="H778" s="162"/>
      <c r="I778" s="163"/>
      <c r="J778" s="163"/>
      <c r="K778" s="163"/>
    </row>
    <row r="779" ht="15.75" customHeight="1">
      <c r="F779" s="140"/>
      <c r="H779" s="162"/>
      <c r="I779" s="163"/>
      <c r="J779" s="163"/>
      <c r="K779" s="163"/>
    </row>
    <row r="780" ht="15.75" customHeight="1">
      <c r="F780" s="140"/>
      <c r="H780" s="162"/>
      <c r="I780" s="163"/>
      <c r="J780" s="163"/>
      <c r="K780" s="163"/>
    </row>
    <row r="781" ht="15.75" customHeight="1">
      <c r="F781" s="140"/>
      <c r="H781" s="162"/>
      <c r="I781" s="163"/>
      <c r="J781" s="163"/>
      <c r="K781" s="163"/>
    </row>
    <row r="782" ht="15.75" customHeight="1">
      <c r="F782" s="140"/>
      <c r="H782" s="162"/>
      <c r="I782" s="163"/>
      <c r="J782" s="163"/>
      <c r="K782" s="163"/>
    </row>
    <row r="783" ht="15.75" customHeight="1">
      <c r="F783" s="140"/>
      <c r="H783" s="162"/>
      <c r="I783" s="163"/>
      <c r="J783" s="163"/>
      <c r="K783" s="163"/>
    </row>
    <row r="784" ht="15.75" customHeight="1">
      <c r="F784" s="140"/>
      <c r="H784" s="162"/>
      <c r="I784" s="163"/>
      <c r="J784" s="163"/>
      <c r="K784" s="163"/>
    </row>
    <row r="785" ht="15.75" customHeight="1">
      <c r="F785" s="140"/>
      <c r="H785" s="162"/>
      <c r="I785" s="163"/>
      <c r="J785" s="163"/>
      <c r="K785" s="163"/>
    </row>
    <row r="786" ht="15.75" customHeight="1">
      <c r="F786" s="140"/>
      <c r="H786" s="162"/>
      <c r="I786" s="163"/>
      <c r="J786" s="163"/>
      <c r="K786" s="163"/>
    </row>
    <row r="787" ht="15.75" customHeight="1">
      <c r="F787" s="140"/>
      <c r="H787" s="162"/>
      <c r="I787" s="163"/>
      <c r="J787" s="163"/>
      <c r="K787" s="163"/>
    </row>
    <row r="788" ht="15.75" customHeight="1">
      <c r="F788" s="140"/>
      <c r="H788" s="162"/>
      <c r="I788" s="163"/>
      <c r="J788" s="163"/>
      <c r="K788" s="163"/>
    </row>
    <row r="789" ht="15.75" customHeight="1">
      <c r="F789" s="140"/>
      <c r="H789" s="162"/>
      <c r="I789" s="163"/>
      <c r="J789" s="163"/>
      <c r="K789" s="163"/>
    </row>
    <row r="790" ht="15.75" customHeight="1">
      <c r="F790" s="140"/>
      <c r="H790" s="162"/>
      <c r="I790" s="163"/>
      <c r="J790" s="163"/>
      <c r="K790" s="163"/>
    </row>
    <row r="791" ht="15.75" customHeight="1">
      <c r="F791" s="140"/>
      <c r="H791" s="162"/>
      <c r="I791" s="163"/>
      <c r="J791" s="163"/>
      <c r="K791" s="163"/>
    </row>
    <row r="792" ht="15.75" customHeight="1">
      <c r="F792" s="140"/>
      <c r="H792" s="162"/>
      <c r="I792" s="163"/>
      <c r="J792" s="163"/>
      <c r="K792" s="163"/>
    </row>
    <row r="793" ht="15.75" customHeight="1">
      <c r="F793" s="140"/>
      <c r="H793" s="162"/>
      <c r="I793" s="163"/>
      <c r="J793" s="163"/>
      <c r="K793" s="163"/>
    </row>
    <row r="794" ht="15.75" customHeight="1">
      <c r="F794" s="140"/>
      <c r="H794" s="162"/>
      <c r="I794" s="163"/>
      <c r="J794" s="163"/>
      <c r="K794" s="163"/>
    </row>
    <row r="795" ht="15.75" customHeight="1">
      <c r="F795" s="140"/>
      <c r="H795" s="162"/>
      <c r="I795" s="163"/>
      <c r="J795" s="163"/>
      <c r="K795" s="163"/>
    </row>
    <row r="796" ht="15.75" customHeight="1">
      <c r="F796" s="140"/>
      <c r="H796" s="162"/>
      <c r="I796" s="163"/>
      <c r="J796" s="163"/>
      <c r="K796" s="163"/>
    </row>
    <row r="797" ht="15.75" customHeight="1">
      <c r="F797" s="140"/>
      <c r="H797" s="162"/>
      <c r="I797" s="163"/>
      <c r="J797" s="163"/>
      <c r="K797" s="163"/>
    </row>
    <row r="798" ht="15.75" customHeight="1">
      <c r="F798" s="140"/>
      <c r="H798" s="162"/>
      <c r="I798" s="163"/>
      <c r="J798" s="163"/>
      <c r="K798" s="163"/>
    </row>
    <row r="799" ht="15.75" customHeight="1">
      <c r="F799" s="140"/>
      <c r="H799" s="162"/>
      <c r="I799" s="163"/>
      <c r="J799" s="163"/>
      <c r="K799" s="163"/>
    </row>
    <row r="800" ht="15.75" customHeight="1">
      <c r="F800" s="140"/>
      <c r="H800" s="162"/>
      <c r="I800" s="163"/>
      <c r="J800" s="163"/>
      <c r="K800" s="163"/>
    </row>
    <row r="801" ht="15.75" customHeight="1">
      <c r="F801" s="140"/>
      <c r="H801" s="162"/>
      <c r="I801" s="163"/>
      <c r="J801" s="163"/>
      <c r="K801" s="163"/>
    </row>
    <row r="802" ht="15.75" customHeight="1">
      <c r="F802" s="140"/>
      <c r="H802" s="162"/>
      <c r="I802" s="163"/>
      <c r="J802" s="163"/>
      <c r="K802" s="163"/>
    </row>
    <row r="803" ht="15.75" customHeight="1">
      <c r="F803" s="140"/>
      <c r="H803" s="162"/>
      <c r="I803" s="163"/>
      <c r="J803" s="163"/>
      <c r="K803" s="163"/>
    </row>
    <row r="804" ht="15.75" customHeight="1">
      <c r="F804" s="140"/>
      <c r="H804" s="162"/>
      <c r="I804" s="163"/>
      <c r="J804" s="163"/>
      <c r="K804" s="163"/>
    </row>
    <row r="805" ht="15.75" customHeight="1">
      <c r="F805" s="140"/>
      <c r="H805" s="162"/>
      <c r="I805" s="163"/>
      <c r="J805" s="163"/>
      <c r="K805" s="163"/>
    </row>
    <row r="806" ht="15.75" customHeight="1">
      <c r="F806" s="140"/>
      <c r="H806" s="162"/>
      <c r="I806" s="163"/>
      <c r="J806" s="163"/>
      <c r="K806" s="163"/>
    </row>
    <row r="807" ht="15.75" customHeight="1">
      <c r="F807" s="140"/>
      <c r="H807" s="162"/>
      <c r="I807" s="163"/>
      <c r="J807" s="163"/>
      <c r="K807" s="163"/>
    </row>
    <row r="808" ht="15.75" customHeight="1">
      <c r="F808" s="140"/>
      <c r="H808" s="162"/>
      <c r="I808" s="163"/>
      <c r="J808" s="163"/>
      <c r="K808" s="163"/>
    </row>
    <row r="809" ht="15.75" customHeight="1">
      <c r="F809" s="140"/>
      <c r="H809" s="162"/>
      <c r="I809" s="163"/>
      <c r="J809" s="163"/>
      <c r="K809" s="163"/>
    </row>
    <row r="810" ht="15.75" customHeight="1">
      <c r="F810" s="140"/>
      <c r="H810" s="162"/>
      <c r="I810" s="163"/>
      <c r="J810" s="163"/>
      <c r="K810" s="163"/>
    </row>
    <row r="811" ht="15.75" customHeight="1">
      <c r="F811" s="140"/>
      <c r="H811" s="162"/>
      <c r="I811" s="163"/>
      <c r="J811" s="163"/>
      <c r="K811" s="163"/>
    </row>
    <row r="812" ht="15.75" customHeight="1">
      <c r="F812" s="140"/>
      <c r="H812" s="162"/>
      <c r="I812" s="163"/>
      <c r="J812" s="163"/>
      <c r="K812" s="163"/>
    </row>
    <row r="813" ht="15.75" customHeight="1">
      <c r="F813" s="140"/>
      <c r="H813" s="162"/>
      <c r="I813" s="163"/>
      <c r="J813" s="163"/>
      <c r="K813" s="163"/>
    </row>
    <row r="814" ht="15.75" customHeight="1">
      <c r="F814" s="140"/>
      <c r="H814" s="162"/>
      <c r="I814" s="163"/>
      <c r="J814" s="163"/>
      <c r="K814" s="163"/>
    </row>
    <row r="815" ht="15.75" customHeight="1">
      <c r="F815" s="140"/>
      <c r="H815" s="162"/>
      <c r="I815" s="163"/>
      <c r="J815" s="163"/>
      <c r="K815" s="163"/>
    </row>
    <row r="816" ht="15.75" customHeight="1">
      <c r="F816" s="140"/>
      <c r="H816" s="162"/>
      <c r="I816" s="163"/>
      <c r="J816" s="163"/>
      <c r="K816" s="163"/>
    </row>
    <row r="817" ht="15.75" customHeight="1">
      <c r="F817" s="140"/>
      <c r="H817" s="162"/>
      <c r="I817" s="163"/>
      <c r="J817" s="163"/>
      <c r="K817" s="163"/>
    </row>
    <row r="818" ht="15.75" customHeight="1">
      <c r="F818" s="140"/>
      <c r="H818" s="162"/>
      <c r="I818" s="163"/>
      <c r="J818" s="163"/>
      <c r="K818" s="163"/>
    </row>
    <row r="819" ht="15.75" customHeight="1">
      <c r="F819" s="140"/>
      <c r="H819" s="162"/>
      <c r="I819" s="163"/>
      <c r="J819" s="163"/>
      <c r="K819" s="163"/>
    </row>
    <row r="820" ht="15.75" customHeight="1">
      <c r="F820" s="140"/>
      <c r="H820" s="162"/>
      <c r="I820" s="163"/>
      <c r="J820" s="163"/>
      <c r="K820" s="163"/>
    </row>
    <row r="821" ht="15.75" customHeight="1">
      <c r="F821" s="140"/>
      <c r="H821" s="162"/>
      <c r="I821" s="163"/>
      <c r="J821" s="163"/>
      <c r="K821" s="163"/>
    </row>
    <row r="822" ht="15.75" customHeight="1">
      <c r="F822" s="140"/>
      <c r="H822" s="162"/>
      <c r="I822" s="163"/>
      <c r="J822" s="163"/>
      <c r="K822" s="163"/>
    </row>
    <row r="823" ht="15.75" customHeight="1">
      <c r="F823" s="140"/>
      <c r="H823" s="162"/>
      <c r="I823" s="163"/>
      <c r="J823" s="163"/>
      <c r="K823" s="163"/>
    </row>
    <row r="824" ht="15.75" customHeight="1">
      <c r="F824" s="140"/>
      <c r="H824" s="162"/>
      <c r="I824" s="163"/>
      <c r="J824" s="163"/>
      <c r="K824" s="163"/>
    </row>
    <row r="825" ht="15.75" customHeight="1">
      <c r="F825" s="140"/>
      <c r="H825" s="162"/>
      <c r="I825" s="163"/>
      <c r="J825" s="163"/>
      <c r="K825" s="163"/>
    </row>
    <row r="826" ht="15.75" customHeight="1">
      <c r="F826" s="140"/>
      <c r="H826" s="162"/>
      <c r="I826" s="163"/>
      <c r="J826" s="163"/>
      <c r="K826" s="163"/>
    </row>
    <row r="827" ht="15.75" customHeight="1">
      <c r="F827" s="140"/>
      <c r="H827" s="162"/>
      <c r="I827" s="163"/>
      <c r="J827" s="163"/>
      <c r="K827" s="163"/>
    </row>
    <row r="828" ht="15.75" customHeight="1">
      <c r="F828" s="140"/>
      <c r="H828" s="162"/>
      <c r="I828" s="163"/>
      <c r="J828" s="163"/>
      <c r="K828" s="163"/>
    </row>
    <row r="829" ht="15.75" customHeight="1">
      <c r="F829" s="140"/>
      <c r="H829" s="162"/>
      <c r="I829" s="163"/>
      <c r="J829" s="163"/>
      <c r="K829" s="163"/>
    </row>
    <row r="830" ht="15.75" customHeight="1">
      <c r="F830" s="140"/>
      <c r="H830" s="162"/>
      <c r="I830" s="163"/>
      <c r="J830" s="163"/>
      <c r="K830" s="163"/>
    </row>
    <row r="831" ht="15.75" customHeight="1">
      <c r="F831" s="140"/>
      <c r="H831" s="162"/>
      <c r="I831" s="163"/>
      <c r="J831" s="163"/>
      <c r="K831" s="163"/>
    </row>
    <row r="832" ht="15.75" customHeight="1">
      <c r="F832" s="140"/>
      <c r="H832" s="162"/>
      <c r="I832" s="163"/>
      <c r="J832" s="163"/>
      <c r="K832" s="163"/>
    </row>
    <row r="833" ht="15.75" customHeight="1">
      <c r="F833" s="140"/>
      <c r="H833" s="162"/>
      <c r="I833" s="163"/>
      <c r="J833" s="163"/>
      <c r="K833" s="163"/>
    </row>
    <row r="834" ht="15.75" customHeight="1">
      <c r="F834" s="140"/>
      <c r="H834" s="162"/>
      <c r="I834" s="163"/>
      <c r="J834" s="163"/>
      <c r="K834" s="163"/>
    </row>
    <row r="835" ht="15.75" customHeight="1">
      <c r="F835" s="140"/>
      <c r="H835" s="162"/>
      <c r="I835" s="163"/>
      <c r="J835" s="163"/>
      <c r="K835" s="163"/>
    </row>
    <row r="836" ht="15.75" customHeight="1">
      <c r="F836" s="140"/>
      <c r="H836" s="162"/>
      <c r="I836" s="163"/>
      <c r="J836" s="163"/>
      <c r="K836" s="163"/>
    </row>
    <row r="837" ht="15.75" customHeight="1">
      <c r="F837" s="140"/>
      <c r="H837" s="162"/>
      <c r="I837" s="163"/>
      <c r="J837" s="163"/>
      <c r="K837" s="163"/>
    </row>
    <row r="838" ht="15.75" customHeight="1">
      <c r="F838" s="140"/>
      <c r="H838" s="162"/>
      <c r="I838" s="163"/>
      <c r="J838" s="163"/>
      <c r="K838" s="163"/>
    </row>
    <row r="839" ht="15.75" customHeight="1">
      <c r="F839" s="140"/>
      <c r="H839" s="162"/>
      <c r="I839" s="163"/>
      <c r="J839" s="163"/>
      <c r="K839" s="163"/>
    </row>
    <row r="840" ht="15.75" customHeight="1">
      <c r="F840" s="140"/>
      <c r="H840" s="162"/>
      <c r="I840" s="163"/>
      <c r="J840" s="163"/>
      <c r="K840" s="163"/>
    </row>
    <row r="841" ht="15.75" customHeight="1">
      <c r="F841" s="140"/>
      <c r="H841" s="162"/>
      <c r="I841" s="163"/>
      <c r="J841" s="163"/>
      <c r="K841" s="163"/>
    </row>
    <row r="842" ht="15.75" customHeight="1">
      <c r="F842" s="140"/>
      <c r="H842" s="162"/>
      <c r="I842" s="163"/>
      <c r="J842" s="163"/>
      <c r="K842" s="163"/>
    </row>
    <row r="843" ht="15.75" customHeight="1">
      <c r="F843" s="140"/>
      <c r="H843" s="162"/>
      <c r="I843" s="163"/>
      <c r="J843" s="163"/>
      <c r="K843" s="163"/>
    </row>
    <row r="844" ht="15.75" customHeight="1">
      <c r="F844" s="140"/>
      <c r="H844" s="162"/>
      <c r="I844" s="163"/>
      <c r="J844" s="163"/>
      <c r="K844" s="163"/>
    </row>
    <row r="845" ht="15.75" customHeight="1">
      <c r="F845" s="140"/>
      <c r="H845" s="162"/>
      <c r="I845" s="163"/>
      <c r="J845" s="163"/>
      <c r="K845" s="163"/>
    </row>
    <row r="846" ht="15.75" customHeight="1">
      <c r="F846" s="140"/>
      <c r="H846" s="162"/>
      <c r="I846" s="163"/>
      <c r="J846" s="163"/>
      <c r="K846" s="163"/>
    </row>
    <row r="847" ht="15.75" customHeight="1">
      <c r="F847" s="140"/>
      <c r="H847" s="162"/>
      <c r="I847" s="163"/>
      <c r="J847" s="163"/>
      <c r="K847" s="163"/>
    </row>
    <row r="848" ht="15.75" customHeight="1">
      <c r="F848" s="140"/>
      <c r="H848" s="162"/>
      <c r="I848" s="163"/>
      <c r="J848" s="163"/>
      <c r="K848" s="163"/>
    </row>
    <row r="849" ht="15.75" customHeight="1">
      <c r="F849" s="140"/>
      <c r="H849" s="162"/>
      <c r="I849" s="163"/>
      <c r="J849" s="163"/>
      <c r="K849" s="163"/>
    </row>
    <row r="850" ht="15.75" customHeight="1">
      <c r="F850" s="140"/>
      <c r="H850" s="162"/>
      <c r="I850" s="163"/>
      <c r="J850" s="163"/>
      <c r="K850" s="163"/>
    </row>
    <row r="851" ht="15.75" customHeight="1">
      <c r="F851" s="140"/>
      <c r="H851" s="162"/>
      <c r="I851" s="163"/>
      <c r="J851" s="163"/>
      <c r="K851" s="163"/>
    </row>
    <row r="852" ht="15.75" customHeight="1">
      <c r="F852" s="140"/>
      <c r="H852" s="162"/>
      <c r="I852" s="163"/>
      <c r="J852" s="163"/>
      <c r="K852" s="163"/>
    </row>
    <row r="853" ht="15.75" customHeight="1">
      <c r="F853" s="140"/>
      <c r="H853" s="162"/>
      <c r="I853" s="163"/>
      <c r="J853" s="163"/>
      <c r="K853" s="163"/>
    </row>
    <row r="854" ht="15.75" customHeight="1">
      <c r="F854" s="140"/>
      <c r="H854" s="162"/>
      <c r="I854" s="163"/>
      <c r="J854" s="163"/>
      <c r="K854" s="163"/>
    </row>
    <row r="855" ht="15.75" customHeight="1">
      <c r="F855" s="140"/>
      <c r="H855" s="162"/>
      <c r="I855" s="163"/>
      <c r="J855" s="163"/>
      <c r="K855" s="163"/>
    </row>
    <row r="856" ht="15.75" customHeight="1">
      <c r="F856" s="140"/>
      <c r="H856" s="162"/>
      <c r="I856" s="163"/>
      <c r="J856" s="163"/>
      <c r="K856" s="163"/>
    </row>
    <row r="857" ht="15.75" customHeight="1">
      <c r="F857" s="140"/>
      <c r="H857" s="162"/>
      <c r="I857" s="163"/>
      <c r="J857" s="163"/>
      <c r="K857" s="163"/>
    </row>
    <row r="858" ht="15.75" customHeight="1">
      <c r="F858" s="140"/>
      <c r="H858" s="162"/>
      <c r="I858" s="163"/>
      <c r="J858" s="163"/>
      <c r="K858" s="163"/>
    </row>
    <row r="859" ht="15.75" customHeight="1">
      <c r="F859" s="140"/>
      <c r="H859" s="162"/>
      <c r="I859" s="163"/>
      <c r="J859" s="163"/>
      <c r="K859" s="163"/>
    </row>
    <row r="860" ht="15.75" customHeight="1">
      <c r="F860" s="140"/>
      <c r="H860" s="162"/>
      <c r="I860" s="163"/>
      <c r="J860" s="163"/>
      <c r="K860" s="163"/>
    </row>
    <row r="861" ht="15.75" customHeight="1">
      <c r="F861" s="140"/>
      <c r="H861" s="162"/>
      <c r="I861" s="163"/>
      <c r="J861" s="163"/>
      <c r="K861" s="163"/>
    </row>
    <row r="862" ht="15.75" customHeight="1">
      <c r="F862" s="140"/>
      <c r="H862" s="162"/>
      <c r="I862" s="163"/>
      <c r="J862" s="163"/>
      <c r="K862" s="163"/>
    </row>
    <row r="863" ht="15.75" customHeight="1">
      <c r="F863" s="140"/>
      <c r="H863" s="162"/>
      <c r="I863" s="163"/>
      <c r="J863" s="163"/>
      <c r="K863" s="163"/>
    </row>
    <row r="864" ht="15.75" customHeight="1">
      <c r="F864" s="140"/>
      <c r="H864" s="162"/>
      <c r="I864" s="163"/>
      <c r="J864" s="163"/>
      <c r="K864" s="163"/>
    </row>
    <row r="865" ht="15.75" customHeight="1">
      <c r="F865" s="140"/>
      <c r="H865" s="162"/>
      <c r="I865" s="163"/>
      <c r="J865" s="163"/>
      <c r="K865" s="163"/>
    </row>
    <row r="866" ht="15.75" customHeight="1">
      <c r="F866" s="140"/>
      <c r="H866" s="162"/>
      <c r="I866" s="163"/>
      <c r="J866" s="163"/>
      <c r="K866" s="163"/>
    </row>
    <row r="867" ht="15.75" customHeight="1">
      <c r="F867" s="140"/>
      <c r="H867" s="162"/>
      <c r="I867" s="163"/>
      <c r="J867" s="163"/>
      <c r="K867" s="163"/>
    </row>
    <row r="868" ht="15.75" customHeight="1">
      <c r="F868" s="140"/>
      <c r="H868" s="162"/>
      <c r="I868" s="163"/>
      <c r="J868" s="163"/>
      <c r="K868" s="163"/>
    </row>
    <row r="869" ht="15.75" customHeight="1">
      <c r="F869" s="140"/>
      <c r="H869" s="162"/>
      <c r="I869" s="163"/>
      <c r="J869" s="163"/>
      <c r="K869" s="163"/>
    </row>
    <row r="870" ht="15.75" customHeight="1">
      <c r="F870" s="140"/>
      <c r="H870" s="162"/>
      <c r="I870" s="163"/>
      <c r="J870" s="163"/>
      <c r="K870" s="163"/>
    </row>
    <row r="871" ht="15.75" customHeight="1">
      <c r="F871" s="140"/>
      <c r="H871" s="162"/>
      <c r="I871" s="163"/>
      <c r="J871" s="163"/>
      <c r="K871" s="163"/>
    </row>
    <row r="872" ht="15.75" customHeight="1">
      <c r="F872" s="140"/>
      <c r="H872" s="162"/>
      <c r="I872" s="163"/>
      <c r="J872" s="163"/>
      <c r="K872" s="163"/>
    </row>
    <row r="873" ht="15.75" customHeight="1">
      <c r="F873" s="140"/>
      <c r="H873" s="162"/>
      <c r="I873" s="163"/>
      <c r="J873" s="163"/>
      <c r="K873" s="163"/>
    </row>
    <row r="874" ht="15.75" customHeight="1">
      <c r="F874" s="140"/>
      <c r="H874" s="162"/>
      <c r="I874" s="163"/>
      <c r="J874" s="163"/>
      <c r="K874" s="163"/>
    </row>
    <row r="875" ht="15.75" customHeight="1">
      <c r="F875" s="140"/>
      <c r="H875" s="162"/>
      <c r="I875" s="163"/>
      <c r="J875" s="163"/>
      <c r="K875" s="163"/>
    </row>
    <row r="876" ht="15.75" customHeight="1">
      <c r="F876" s="140"/>
      <c r="H876" s="162"/>
      <c r="I876" s="163"/>
      <c r="J876" s="163"/>
      <c r="K876" s="163"/>
    </row>
    <row r="877" ht="15.75" customHeight="1">
      <c r="F877" s="140"/>
      <c r="H877" s="162"/>
      <c r="I877" s="163"/>
      <c r="J877" s="163"/>
      <c r="K877" s="163"/>
    </row>
    <row r="878" ht="15.75" customHeight="1">
      <c r="F878" s="140"/>
      <c r="H878" s="162"/>
      <c r="I878" s="163"/>
      <c r="J878" s="163"/>
      <c r="K878" s="163"/>
    </row>
    <row r="879" ht="15.75" customHeight="1">
      <c r="F879" s="140"/>
      <c r="H879" s="162"/>
      <c r="I879" s="163"/>
      <c r="J879" s="163"/>
      <c r="K879" s="163"/>
    </row>
    <row r="880" ht="15.75" customHeight="1">
      <c r="F880" s="140"/>
      <c r="H880" s="162"/>
      <c r="I880" s="163"/>
      <c r="J880" s="163"/>
      <c r="K880" s="163"/>
    </row>
    <row r="881" ht="15.75" customHeight="1">
      <c r="F881" s="140"/>
      <c r="H881" s="162"/>
      <c r="I881" s="163"/>
      <c r="J881" s="163"/>
      <c r="K881" s="163"/>
    </row>
    <row r="882" ht="15.75" customHeight="1">
      <c r="F882" s="140"/>
      <c r="H882" s="162"/>
      <c r="I882" s="163"/>
      <c r="J882" s="163"/>
      <c r="K882" s="163"/>
    </row>
    <row r="883" ht="15.75" customHeight="1">
      <c r="F883" s="140"/>
      <c r="H883" s="162"/>
      <c r="I883" s="163"/>
      <c r="J883" s="163"/>
      <c r="K883" s="163"/>
    </row>
    <row r="884" ht="15.75" customHeight="1">
      <c r="F884" s="140"/>
      <c r="H884" s="162"/>
      <c r="I884" s="163"/>
      <c r="J884" s="163"/>
      <c r="K884" s="163"/>
    </row>
    <row r="885" ht="15.75" customHeight="1">
      <c r="F885" s="140"/>
      <c r="H885" s="162"/>
      <c r="I885" s="163"/>
      <c r="J885" s="163"/>
      <c r="K885" s="163"/>
    </row>
    <row r="886" ht="15.75" customHeight="1">
      <c r="F886" s="140"/>
      <c r="H886" s="162"/>
      <c r="I886" s="163"/>
      <c r="J886" s="163"/>
      <c r="K886" s="163"/>
    </row>
    <row r="887" ht="15.75" customHeight="1">
      <c r="F887" s="140"/>
      <c r="H887" s="162"/>
      <c r="I887" s="163"/>
      <c r="J887" s="163"/>
      <c r="K887" s="163"/>
    </row>
    <row r="888" ht="15.75" customHeight="1">
      <c r="F888" s="140"/>
      <c r="H888" s="162"/>
      <c r="I888" s="163"/>
      <c r="J888" s="163"/>
      <c r="K888" s="163"/>
    </row>
    <row r="889" ht="15.75" customHeight="1">
      <c r="F889" s="140"/>
      <c r="H889" s="162"/>
      <c r="I889" s="163"/>
      <c r="J889" s="163"/>
      <c r="K889" s="163"/>
    </row>
    <row r="890" ht="15.75" customHeight="1">
      <c r="F890" s="140"/>
      <c r="H890" s="162"/>
      <c r="I890" s="163"/>
      <c r="J890" s="163"/>
      <c r="K890" s="163"/>
    </row>
    <row r="891" ht="15.75" customHeight="1">
      <c r="F891" s="140"/>
      <c r="H891" s="162"/>
      <c r="I891" s="163"/>
      <c r="J891" s="163"/>
      <c r="K891" s="163"/>
    </row>
    <row r="892" ht="15.75" customHeight="1">
      <c r="F892" s="140"/>
      <c r="H892" s="162"/>
      <c r="I892" s="163"/>
      <c r="J892" s="163"/>
      <c r="K892" s="163"/>
    </row>
    <row r="893" ht="15.75" customHeight="1">
      <c r="F893" s="140"/>
      <c r="H893" s="162"/>
      <c r="I893" s="163"/>
      <c r="J893" s="163"/>
      <c r="K893" s="163"/>
    </row>
    <row r="894" ht="15.75" customHeight="1">
      <c r="F894" s="140"/>
      <c r="H894" s="162"/>
      <c r="I894" s="163"/>
      <c r="J894" s="163"/>
      <c r="K894" s="163"/>
    </row>
    <row r="895" ht="15.75" customHeight="1">
      <c r="F895" s="140"/>
      <c r="H895" s="162"/>
      <c r="I895" s="163"/>
      <c r="J895" s="163"/>
      <c r="K895" s="163"/>
    </row>
    <row r="896" ht="15.75" customHeight="1">
      <c r="F896" s="140"/>
      <c r="H896" s="162"/>
      <c r="I896" s="163"/>
      <c r="J896" s="163"/>
      <c r="K896" s="163"/>
    </row>
    <row r="897" ht="15.75" customHeight="1">
      <c r="F897" s="140"/>
      <c r="H897" s="162"/>
      <c r="I897" s="163"/>
      <c r="J897" s="163"/>
      <c r="K897" s="163"/>
    </row>
    <row r="898" ht="15.75" customHeight="1">
      <c r="F898" s="140"/>
      <c r="H898" s="162"/>
      <c r="I898" s="163"/>
      <c r="J898" s="163"/>
      <c r="K898" s="163"/>
    </row>
    <row r="899" ht="15.75" customHeight="1">
      <c r="F899" s="140"/>
      <c r="H899" s="162"/>
      <c r="I899" s="163"/>
      <c r="J899" s="163"/>
      <c r="K899" s="163"/>
    </row>
    <row r="900" ht="15.75" customHeight="1">
      <c r="F900" s="140"/>
      <c r="H900" s="162"/>
      <c r="I900" s="163"/>
      <c r="J900" s="163"/>
      <c r="K900" s="163"/>
    </row>
    <row r="901" ht="15.75" customHeight="1">
      <c r="F901" s="140"/>
      <c r="H901" s="162"/>
      <c r="I901" s="163"/>
      <c r="J901" s="163"/>
      <c r="K901" s="163"/>
    </row>
    <row r="902" ht="15.75" customHeight="1">
      <c r="F902" s="140"/>
      <c r="H902" s="162"/>
      <c r="I902" s="163"/>
      <c r="J902" s="163"/>
      <c r="K902" s="163"/>
    </row>
    <row r="903" ht="15.75" customHeight="1">
      <c r="F903" s="140"/>
      <c r="H903" s="162"/>
      <c r="I903" s="163"/>
      <c r="J903" s="163"/>
      <c r="K903" s="163"/>
    </row>
    <row r="904" ht="15.75" customHeight="1">
      <c r="F904" s="140"/>
      <c r="H904" s="162"/>
      <c r="I904" s="163"/>
      <c r="J904" s="163"/>
      <c r="K904" s="163"/>
    </row>
    <row r="905" ht="15.75" customHeight="1">
      <c r="F905" s="140"/>
      <c r="H905" s="162"/>
      <c r="I905" s="163"/>
      <c r="J905" s="163"/>
      <c r="K905" s="163"/>
    </row>
    <row r="906" ht="15.75" customHeight="1">
      <c r="F906" s="140"/>
      <c r="H906" s="162"/>
      <c r="I906" s="163"/>
      <c r="J906" s="163"/>
      <c r="K906" s="163"/>
    </row>
    <row r="907" ht="15.75" customHeight="1">
      <c r="F907" s="140"/>
      <c r="H907" s="162"/>
      <c r="I907" s="163"/>
      <c r="J907" s="163"/>
      <c r="K907" s="163"/>
    </row>
    <row r="908" ht="15.75" customHeight="1">
      <c r="F908" s="140"/>
      <c r="H908" s="162"/>
      <c r="I908" s="163"/>
      <c r="J908" s="163"/>
      <c r="K908" s="163"/>
    </row>
    <row r="909" ht="15.75" customHeight="1">
      <c r="F909" s="140"/>
      <c r="H909" s="162"/>
      <c r="I909" s="163"/>
      <c r="J909" s="163"/>
      <c r="K909" s="163"/>
    </row>
    <row r="910" ht="15.75" customHeight="1">
      <c r="F910" s="140"/>
      <c r="H910" s="162"/>
      <c r="I910" s="163"/>
      <c r="J910" s="163"/>
      <c r="K910" s="163"/>
    </row>
    <row r="911" ht="15.75" customHeight="1">
      <c r="F911" s="140"/>
      <c r="H911" s="162"/>
      <c r="I911" s="163"/>
      <c r="J911" s="163"/>
      <c r="K911" s="163"/>
    </row>
    <row r="912" ht="15.75" customHeight="1">
      <c r="F912" s="140"/>
      <c r="H912" s="162"/>
      <c r="I912" s="163"/>
      <c r="J912" s="163"/>
      <c r="K912" s="163"/>
    </row>
    <row r="913" ht="15.75" customHeight="1">
      <c r="F913" s="140"/>
      <c r="H913" s="162"/>
      <c r="I913" s="163"/>
      <c r="J913" s="163"/>
      <c r="K913" s="163"/>
    </row>
    <row r="914" ht="15.75" customHeight="1">
      <c r="F914" s="140"/>
      <c r="H914" s="162"/>
      <c r="I914" s="163"/>
      <c r="J914" s="163"/>
      <c r="K914" s="163"/>
    </row>
    <row r="915" ht="15.75" customHeight="1">
      <c r="F915" s="140"/>
      <c r="H915" s="162"/>
      <c r="I915" s="163"/>
      <c r="J915" s="163"/>
      <c r="K915" s="163"/>
    </row>
    <row r="916" ht="15.75" customHeight="1">
      <c r="F916" s="140"/>
      <c r="H916" s="162"/>
      <c r="I916" s="163"/>
      <c r="J916" s="163"/>
      <c r="K916" s="163"/>
    </row>
    <row r="917" ht="15.75" customHeight="1">
      <c r="F917" s="140"/>
      <c r="H917" s="162"/>
      <c r="I917" s="163"/>
      <c r="J917" s="163"/>
      <c r="K917" s="163"/>
    </row>
    <row r="918" ht="15.75" customHeight="1">
      <c r="F918" s="140"/>
      <c r="H918" s="162"/>
      <c r="I918" s="163"/>
      <c r="J918" s="163"/>
      <c r="K918" s="163"/>
    </row>
    <row r="919" ht="15.75" customHeight="1">
      <c r="F919" s="140"/>
      <c r="H919" s="162"/>
      <c r="I919" s="163"/>
      <c r="J919" s="163"/>
      <c r="K919" s="163"/>
    </row>
    <row r="920" ht="15.75" customHeight="1">
      <c r="F920" s="140"/>
      <c r="H920" s="162"/>
      <c r="I920" s="163"/>
      <c r="J920" s="163"/>
      <c r="K920" s="163"/>
    </row>
    <row r="921" ht="15.75" customHeight="1">
      <c r="F921" s="140"/>
      <c r="H921" s="162"/>
      <c r="I921" s="163"/>
      <c r="J921" s="163"/>
      <c r="K921" s="163"/>
    </row>
    <row r="922" ht="15.75" customHeight="1">
      <c r="F922" s="140"/>
      <c r="H922" s="162"/>
      <c r="I922" s="163"/>
      <c r="J922" s="163"/>
      <c r="K922" s="163"/>
    </row>
    <row r="923" ht="15.75" customHeight="1">
      <c r="F923" s="140"/>
      <c r="H923" s="162"/>
      <c r="I923" s="163"/>
      <c r="J923" s="163"/>
      <c r="K923" s="163"/>
    </row>
    <row r="924" ht="15.75" customHeight="1">
      <c r="F924" s="140"/>
      <c r="H924" s="162"/>
      <c r="I924" s="163"/>
      <c r="J924" s="163"/>
      <c r="K924" s="163"/>
    </row>
    <row r="925" ht="15.75" customHeight="1">
      <c r="F925" s="140"/>
      <c r="H925" s="162"/>
      <c r="I925" s="163"/>
      <c r="J925" s="163"/>
      <c r="K925" s="163"/>
    </row>
    <row r="926" ht="15.75" customHeight="1">
      <c r="F926" s="140"/>
      <c r="H926" s="162"/>
      <c r="I926" s="163"/>
      <c r="J926" s="163"/>
      <c r="K926" s="163"/>
    </row>
    <row r="927" ht="15.75" customHeight="1">
      <c r="F927" s="140"/>
      <c r="H927" s="162"/>
      <c r="I927" s="163"/>
      <c r="J927" s="163"/>
      <c r="K927" s="163"/>
    </row>
    <row r="928" ht="15.75" customHeight="1">
      <c r="F928" s="140"/>
      <c r="H928" s="162"/>
      <c r="I928" s="163"/>
      <c r="J928" s="163"/>
      <c r="K928" s="163"/>
    </row>
    <row r="929" ht="15.75" customHeight="1">
      <c r="F929" s="140"/>
      <c r="H929" s="162"/>
      <c r="I929" s="163"/>
      <c r="J929" s="163"/>
      <c r="K929" s="163"/>
    </row>
    <row r="930" ht="15.75" customHeight="1">
      <c r="F930" s="140"/>
      <c r="H930" s="162"/>
      <c r="I930" s="163"/>
      <c r="J930" s="163"/>
      <c r="K930" s="163"/>
    </row>
    <row r="931" ht="15.75" customHeight="1">
      <c r="F931" s="140"/>
      <c r="H931" s="162"/>
      <c r="I931" s="163"/>
      <c r="J931" s="163"/>
      <c r="K931" s="163"/>
    </row>
    <row r="932" ht="15.75" customHeight="1">
      <c r="F932" s="140"/>
      <c r="H932" s="162"/>
      <c r="I932" s="163"/>
      <c r="J932" s="163"/>
      <c r="K932" s="163"/>
    </row>
    <row r="933" ht="15.75" customHeight="1">
      <c r="F933" s="140"/>
      <c r="H933" s="162"/>
      <c r="I933" s="163"/>
      <c r="J933" s="163"/>
      <c r="K933" s="163"/>
    </row>
    <row r="934" ht="15.75" customHeight="1">
      <c r="F934" s="140"/>
      <c r="H934" s="162"/>
      <c r="I934" s="163"/>
      <c r="J934" s="163"/>
      <c r="K934" s="163"/>
    </row>
    <row r="935" ht="15.75" customHeight="1">
      <c r="F935" s="140"/>
      <c r="H935" s="162"/>
      <c r="I935" s="163"/>
      <c r="J935" s="163"/>
      <c r="K935" s="163"/>
    </row>
    <row r="936" ht="15.75" customHeight="1">
      <c r="F936" s="140"/>
      <c r="H936" s="162"/>
      <c r="I936" s="163"/>
      <c r="J936" s="163"/>
      <c r="K936" s="163"/>
    </row>
    <row r="937" ht="15.75" customHeight="1">
      <c r="F937" s="140"/>
      <c r="H937" s="162"/>
      <c r="I937" s="163"/>
      <c r="J937" s="163"/>
      <c r="K937" s="163"/>
    </row>
    <row r="938" ht="15.75" customHeight="1">
      <c r="F938" s="140"/>
      <c r="H938" s="162"/>
      <c r="I938" s="163"/>
      <c r="J938" s="163"/>
      <c r="K938" s="163"/>
    </row>
    <row r="939" ht="15.75" customHeight="1">
      <c r="F939" s="140"/>
      <c r="H939" s="162"/>
      <c r="I939" s="163"/>
      <c r="J939" s="163"/>
      <c r="K939" s="163"/>
    </row>
    <row r="940" ht="15.75" customHeight="1">
      <c r="F940" s="140"/>
      <c r="H940" s="162"/>
      <c r="I940" s="163"/>
      <c r="J940" s="163"/>
      <c r="K940" s="163"/>
    </row>
    <row r="941" ht="15.75" customHeight="1">
      <c r="F941" s="140"/>
      <c r="H941" s="162"/>
      <c r="I941" s="163"/>
      <c r="J941" s="163"/>
      <c r="K941" s="163"/>
    </row>
    <row r="942" ht="15.75" customHeight="1">
      <c r="F942" s="140"/>
      <c r="H942" s="162"/>
      <c r="I942" s="163"/>
      <c r="J942" s="163"/>
      <c r="K942" s="163"/>
    </row>
    <row r="943" ht="15.75" customHeight="1">
      <c r="F943" s="140"/>
      <c r="H943" s="162"/>
      <c r="I943" s="163"/>
      <c r="J943" s="163"/>
      <c r="K943" s="163"/>
    </row>
    <row r="944" ht="15.75" customHeight="1">
      <c r="F944" s="140"/>
      <c r="H944" s="162"/>
      <c r="I944" s="163"/>
      <c r="J944" s="163"/>
      <c r="K944" s="163"/>
    </row>
    <row r="945" ht="15.75" customHeight="1">
      <c r="F945" s="140"/>
      <c r="H945" s="162"/>
      <c r="I945" s="163"/>
      <c r="J945" s="163"/>
      <c r="K945" s="163"/>
    </row>
    <row r="946" ht="15.75" customHeight="1">
      <c r="F946" s="140"/>
      <c r="H946" s="162"/>
      <c r="I946" s="163"/>
      <c r="J946" s="163"/>
      <c r="K946" s="163"/>
    </row>
    <row r="947" ht="15.75" customHeight="1">
      <c r="F947" s="140"/>
      <c r="H947" s="162"/>
      <c r="I947" s="163"/>
      <c r="J947" s="163"/>
      <c r="K947" s="163"/>
    </row>
    <row r="948" ht="15.75" customHeight="1">
      <c r="F948" s="140"/>
      <c r="H948" s="162"/>
      <c r="I948" s="163"/>
      <c r="J948" s="163"/>
      <c r="K948" s="163"/>
    </row>
    <row r="949" ht="15.75" customHeight="1">
      <c r="F949" s="140"/>
      <c r="H949" s="162"/>
      <c r="I949" s="163"/>
      <c r="J949" s="163"/>
      <c r="K949" s="163"/>
    </row>
    <row r="950" ht="15.75" customHeight="1">
      <c r="F950" s="140"/>
      <c r="H950" s="162"/>
      <c r="I950" s="163"/>
      <c r="J950" s="163"/>
      <c r="K950" s="163"/>
    </row>
    <row r="951" ht="15.75" customHeight="1">
      <c r="F951" s="140"/>
      <c r="H951" s="162"/>
      <c r="I951" s="163"/>
      <c r="J951" s="163"/>
      <c r="K951" s="163"/>
    </row>
    <row r="952" ht="15.75" customHeight="1">
      <c r="F952" s="140"/>
      <c r="H952" s="162"/>
      <c r="I952" s="163"/>
      <c r="J952" s="163"/>
      <c r="K952" s="163"/>
    </row>
    <row r="953" ht="15.75" customHeight="1">
      <c r="F953" s="140"/>
      <c r="H953" s="162"/>
      <c r="I953" s="163"/>
      <c r="J953" s="163"/>
      <c r="K953" s="163"/>
    </row>
    <row r="954" ht="15.75" customHeight="1">
      <c r="F954" s="140"/>
      <c r="H954" s="162"/>
      <c r="I954" s="163"/>
      <c r="J954" s="163"/>
      <c r="K954" s="163"/>
    </row>
    <row r="955" ht="15.75" customHeight="1">
      <c r="F955" s="140"/>
      <c r="H955" s="162"/>
      <c r="I955" s="163"/>
      <c r="J955" s="163"/>
      <c r="K955" s="163"/>
    </row>
    <row r="956" ht="15.75" customHeight="1">
      <c r="F956" s="140"/>
      <c r="H956" s="162"/>
      <c r="I956" s="163"/>
      <c r="J956" s="163"/>
      <c r="K956" s="163"/>
    </row>
    <row r="957" ht="15.75" customHeight="1">
      <c r="F957" s="140"/>
      <c r="H957" s="162"/>
      <c r="I957" s="163"/>
      <c r="J957" s="163"/>
      <c r="K957" s="163"/>
    </row>
    <row r="958" ht="15.75" customHeight="1">
      <c r="F958" s="140"/>
      <c r="H958" s="162"/>
      <c r="I958" s="163"/>
      <c r="J958" s="163"/>
      <c r="K958" s="163"/>
    </row>
    <row r="959" ht="15.75" customHeight="1">
      <c r="F959" s="140"/>
      <c r="H959" s="162"/>
      <c r="I959" s="163"/>
      <c r="J959" s="163"/>
      <c r="K959" s="163"/>
    </row>
    <row r="960" ht="15.75" customHeight="1">
      <c r="F960" s="140"/>
      <c r="H960" s="162"/>
      <c r="I960" s="163"/>
      <c r="J960" s="163"/>
      <c r="K960" s="163"/>
    </row>
    <row r="961" ht="15.75" customHeight="1">
      <c r="F961" s="140"/>
      <c r="H961" s="162"/>
      <c r="I961" s="163"/>
      <c r="J961" s="163"/>
      <c r="K961" s="163"/>
    </row>
    <row r="962" ht="15.75" customHeight="1">
      <c r="F962" s="140"/>
      <c r="H962" s="162"/>
      <c r="I962" s="163"/>
      <c r="J962" s="163"/>
      <c r="K962" s="163"/>
    </row>
    <row r="963" ht="15.75" customHeight="1">
      <c r="F963" s="140"/>
      <c r="H963" s="162"/>
      <c r="I963" s="163"/>
      <c r="J963" s="163"/>
      <c r="K963" s="163"/>
    </row>
    <row r="964" ht="15.75" customHeight="1">
      <c r="F964" s="140"/>
      <c r="H964" s="162"/>
      <c r="I964" s="163"/>
      <c r="J964" s="163"/>
      <c r="K964" s="163"/>
    </row>
    <row r="965" ht="15.75" customHeight="1">
      <c r="F965" s="140"/>
      <c r="H965" s="162"/>
      <c r="I965" s="163"/>
      <c r="J965" s="163"/>
      <c r="K965" s="163"/>
    </row>
    <row r="966" ht="15.75" customHeight="1">
      <c r="F966" s="140"/>
      <c r="H966" s="162"/>
      <c r="I966" s="163"/>
      <c r="J966" s="163"/>
      <c r="K966" s="163"/>
    </row>
    <row r="967" ht="15.75" customHeight="1">
      <c r="F967" s="140"/>
      <c r="H967" s="162"/>
      <c r="I967" s="163"/>
      <c r="J967" s="163"/>
      <c r="K967" s="163"/>
    </row>
    <row r="968" ht="15.75" customHeight="1">
      <c r="F968" s="140"/>
      <c r="H968" s="162"/>
      <c r="I968" s="163"/>
      <c r="J968" s="163"/>
      <c r="K968" s="163"/>
    </row>
    <row r="969" ht="15.75" customHeight="1">
      <c r="F969" s="140"/>
      <c r="H969" s="162"/>
      <c r="I969" s="163"/>
      <c r="J969" s="163"/>
      <c r="K969" s="163"/>
    </row>
    <row r="970" ht="15.75" customHeight="1">
      <c r="F970" s="140"/>
      <c r="H970" s="162"/>
      <c r="I970" s="163"/>
      <c r="J970" s="163"/>
      <c r="K970" s="163"/>
    </row>
    <row r="971" ht="15.75" customHeight="1">
      <c r="F971" s="140"/>
      <c r="H971" s="162"/>
      <c r="I971" s="163"/>
      <c r="J971" s="163"/>
      <c r="K971" s="163"/>
    </row>
    <row r="972" ht="15.75" customHeight="1">
      <c r="F972" s="140"/>
      <c r="H972" s="162"/>
      <c r="I972" s="163"/>
      <c r="J972" s="163"/>
      <c r="K972" s="163"/>
    </row>
    <row r="973" ht="15.75" customHeight="1">
      <c r="F973" s="140"/>
      <c r="H973" s="162"/>
      <c r="I973" s="163"/>
      <c r="J973" s="163"/>
      <c r="K973" s="163"/>
    </row>
    <row r="974" ht="15.75" customHeight="1">
      <c r="F974" s="140"/>
      <c r="H974" s="162"/>
      <c r="I974" s="163"/>
      <c r="J974" s="163"/>
      <c r="K974" s="163"/>
    </row>
    <row r="975" ht="15.75" customHeight="1">
      <c r="F975" s="140"/>
      <c r="H975" s="162"/>
      <c r="I975" s="163"/>
      <c r="J975" s="163"/>
      <c r="K975" s="163"/>
    </row>
    <row r="976" ht="15.75" customHeight="1">
      <c r="F976" s="140"/>
      <c r="H976" s="162"/>
      <c r="I976" s="163"/>
      <c r="J976" s="163"/>
      <c r="K976" s="163"/>
    </row>
    <row r="977" ht="15.75" customHeight="1">
      <c r="F977" s="140"/>
      <c r="H977" s="162"/>
      <c r="I977" s="163"/>
      <c r="J977" s="163"/>
      <c r="K977" s="163"/>
    </row>
    <row r="978" ht="15.75" customHeight="1">
      <c r="F978" s="140"/>
      <c r="H978" s="162"/>
      <c r="I978" s="163"/>
      <c r="J978" s="163"/>
      <c r="K978" s="163"/>
    </row>
    <row r="979" ht="15.75" customHeight="1">
      <c r="F979" s="140"/>
      <c r="H979" s="162"/>
      <c r="I979" s="163"/>
      <c r="J979" s="163"/>
      <c r="K979" s="163"/>
    </row>
    <row r="980" ht="15.75" customHeight="1">
      <c r="F980" s="140"/>
      <c r="H980" s="162"/>
      <c r="I980" s="163"/>
      <c r="J980" s="163"/>
      <c r="K980" s="163"/>
    </row>
    <row r="981" ht="15.75" customHeight="1">
      <c r="F981" s="140"/>
      <c r="H981" s="162"/>
      <c r="I981" s="163"/>
      <c r="J981" s="163"/>
      <c r="K981" s="163"/>
    </row>
    <row r="982" ht="15.75" customHeight="1">
      <c r="F982" s="140"/>
      <c r="H982" s="162"/>
      <c r="I982" s="163"/>
      <c r="J982" s="163"/>
      <c r="K982" s="163"/>
    </row>
    <row r="983" ht="15.75" customHeight="1">
      <c r="F983" s="140"/>
      <c r="H983" s="162"/>
      <c r="I983" s="163"/>
      <c r="J983" s="163"/>
      <c r="K983" s="163"/>
    </row>
    <row r="984" ht="15.75" customHeight="1">
      <c r="F984" s="140"/>
      <c r="H984" s="162"/>
      <c r="I984" s="163"/>
      <c r="J984" s="163"/>
      <c r="K984" s="163"/>
    </row>
    <row r="985" ht="15.75" customHeight="1">
      <c r="F985" s="140"/>
      <c r="H985" s="162"/>
      <c r="I985" s="163"/>
      <c r="J985" s="163"/>
      <c r="K985" s="163"/>
    </row>
    <row r="986" ht="15.75" customHeight="1">
      <c r="F986" s="140"/>
      <c r="H986" s="162"/>
      <c r="I986" s="163"/>
      <c r="J986" s="163"/>
      <c r="K986" s="163"/>
    </row>
    <row r="987" ht="15.75" customHeight="1">
      <c r="F987" s="140"/>
      <c r="H987" s="162"/>
      <c r="I987" s="163"/>
      <c r="J987" s="163"/>
      <c r="K987" s="163"/>
    </row>
    <row r="988" ht="15.75" customHeight="1">
      <c r="F988" s="140"/>
      <c r="H988" s="162"/>
      <c r="I988" s="163"/>
      <c r="J988" s="163"/>
      <c r="K988" s="163"/>
    </row>
    <row r="989" ht="15.75" customHeight="1">
      <c r="F989" s="140"/>
      <c r="H989" s="162"/>
      <c r="I989" s="163"/>
      <c r="J989" s="163"/>
      <c r="K989" s="163"/>
    </row>
    <row r="990" ht="15.75" customHeight="1">
      <c r="F990" s="140"/>
      <c r="H990" s="162"/>
      <c r="I990" s="163"/>
      <c r="J990" s="163"/>
      <c r="K990" s="163"/>
    </row>
    <row r="991" ht="15.75" customHeight="1">
      <c r="F991" s="140"/>
      <c r="H991" s="162"/>
      <c r="I991" s="163"/>
      <c r="J991" s="163"/>
      <c r="K991" s="163"/>
    </row>
    <row r="992" ht="15.75" customHeight="1">
      <c r="F992" s="140"/>
      <c r="H992" s="162"/>
      <c r="I992" s="163"/>
      <c r="J992" s="163"/>
      <c r="K992" s="163"/>
    </row>
    <row r="993" ht="15.75" customHeight="1">
      <c r="F993" s="140"/>
      <c r="H993" s="162"/>
      <c r="I993" s="163"/>
      <c r="J993" s="163"/>
      <c r="K993" s="163"/>
    </row>
    <row r="994" ht="15.75" customHeight="1">
      <c r="F994" s="140"/>
      <c r="H994" s="162"/>
      <c r="I994" s="163"/>
      <c r="J994" s="163"/>
      <c r="K994" s="163"/>
    </row>
    <row r="995" ht="15.75" customHeight="1">
      <c r="F995" s="140"/>
      <c r="H995" s="162"/>
      <c r="I995" s="163"/>
      <c r="J995" s="163"/>
      <c r="K995" s="163"/>
    </row>
    <row r="996" ht="15.75" customHeight="1">
      <c r="F996" s="140"/>
      <c r="H996" s="162"/>
      <c r="I996" s="163"/>
      <c r="J996" s="163"/>
      <c r="K996" s="163"/>
    </row>
    <row r="997" ht="15.75" customHeight="1">
      <c r="F997" s="140"/>
      <c r="H997" s="162"/>
      <c r="I997" s="163"/>
      <c r="J997" s="163"/>
      <c r="K997" s="163"/>
    </row>
    <row r="998" ht="15.75" customHeight="1">
      <c r="F998" s="140"/>
      <c r="H998" s="162"/>
      <c r="I998" s="163"/>
      <c r="J998" s="163"/>
      <c r="K998" s="163"/>
    </row>
    <row r="999" ht="15.75" customHeight="1">
      <c r="F999" s="140"/>
      <c r="H999" s="162"/>
      <c r="I999" s="163"/>
      <c r="J999" s="163"/>
      <c r="K999" s="163"/>
    </row>
    <row r="1000" ht="15.75" customHeight="1">
      <c r="F1000" s="140"/>
      <c r="H1000" s="162"/>
      <c r="I1000" s="163"/>
      <c r="J1000" s="163"/>
      <c r="K1000" s="163"/>
    </row>
    <row r="1001" ht="15.75" customHeight="1">
      <c r="F1001" s="140"/>
      <c r="H1001" s="162"/>
      <c r="I1001" s="163"/>
      <c r="J1001" s="163"/>
      <c r="K1001" s="163"/>
    </row>
    <row r="1002" ht="15.75" customHeight="1">
      <c r="F1002" s="140"/>
      <c r="H1002" s="162"/>
      <c r="I1002" s="163"/>
      <c r="J1002" s="163"/>
      <c r="K1002" s="163"/>
    </row>
    <row r="1003" ht="15.75" customHeight="1">
      <c r="F1003" s="140"/>
      <c r="H1003" s="162"/>
      <c r="I1003" s="163"/>
      <c r="J1003" s="163"/>
      <c r="K1003" s="163"/>
    </row>
    <row r="1004" ht="15.75" customHeight="1">
      <c r="F1004" s="140"/>
      <c r="H1004" s="162"/>
      <c r="I1004" s="163"/>
      <c r="J1004" s="163"/>
      <c r="K1004" s="163"/>
    </row>
    <row r="1005" ht="15.75" customHeight="1">
      <c r="F1005" s="140"/>
      <c r="H1005" s="162"/>
      <c r="I1005" s="163"/>
      <c r="J1005" s="163"/>
      <c r="K1005" s="163"/>
    </row>
    <row r="1006" ht="15.75" customHeight="1">
      <c r="F1006" s="140"/>
      <c r="H1006" s="162"/>
      <c r="I1006" s="163"/>
      <c r="J1006" s="163"/>
      <c r="K1006" s="163"/>
    </row>
    <row r="1007" ht="15.75" customHeight="1">
      <c r="F1007" s="140"/>
      <c r="H1007" s="162"/>
      <c r="I1007" s="163"/>
      <c r="J1007" s="163"/>
      <c r="K1007" s="163"/>
    </row>
    <row r="1008" ht="15.75" customHeight="1">
      <c r="F1008" s="140"/>
      <c r="H1008" s="162"/>
      <c r="I1008" s="163"/>
      <c r="J1008" s="163"/>
      <c r="K1008" s="163"/>
    </row>
    <row r="1009" ht="15.75" customHeight="1">
      <c r="F1009" s="140"/>
      <c r="H1009" s="162"/>
      <c r="I1009" s="163"/>
      <c r="J1009" s="163"/>
      <c r="K1009" s="163"/>
    </row>
    <row r="1010" ht="15.75" customHeight="1">
      <c r="F1010" s="140"/>
      <c r="H1010" s="162"/>
      <c r="I1010" s="163"/>
      <c r="J1010" s="163"/>
      <c r="K1010" s="163"/>
    </row>
  </sheetData>
  <mergeCells count="85"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74:G174"/>
    <mergeCell ref="E175:G175"/>
    <mergeCell ref="E176:G176"/>
    <mergeCell ref="E177:G177"/>
    <mergeCell ref="E178:G178"/>
    <mergeCell ref="E179:G179"/>
    <mergeCell ref="E180:G180"/>
    <mergeCell ref="E167:G167"/>
    <mergeCell ref="E168:G168"/>
    <mergeCell ref="E169:G169"/>
    <mergeCell ref="E170:G170"/>
    <mergeCell ref="E171:G171"/>
    <mergeCell ref="E172:G172"/>
    <mergeCell ref="E173:G173"/>
    <mergeCell ref="B2:D2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D16:G16"/>
    <mergeCell ref="H16:H20"/>
    <mergeCell ref="I16:I20"/>
    <mergeCell ref="D17:G17"/>
    <mergeCell ref="D20:G20"/>
    <mergeCell ref="D18:G18"/>
    <mergeCell ref="D19:G19"/>
    <mergeCell ref="B21:C21"/>
    <mergeCell ref="D21:G21"/>
    <mergeCell ref="D22:G22"/>
    <mergeCell ref="D23:G23"/>
    <mergeCell ref="D24:G24"/>
    <mergeCell ref="D25:G25"/>
    <mergeCell ref="B26:C26"/>
    <mergeCell ref="D26:G26"/>
    <mergeCell ref="H71:H74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25.86"/>
    <col customWidth="1" min="8" max="8" width="73.71"/>
    <col customWidth="1" min="9" max="14" width="25.86"/>
    <col customWidth="1" min="15" max="16" width="35.86"/>
    <col customWidth="1" min="17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8" t="s">
        <v>2</v>
      </c>
      <c r="C3" s="9"/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8" t="s">
        <v>6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</v>
      </c>
      <c r="B5" s="8" t="s">
        <v>10</v>
      </c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11</v>
      </c>
      <c r="B6" s="15" t="s">
        <v>13</v>
      </c>
      <c r="C6" s="15" t="s">
        <v>13</v>
      </c>
      <c r="D6" s="15" t="s">
        <v>13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6" t="s">
        <v>15</v>
      </c>
      <c r="B7" s="8" t="s">
        <v>13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/>
      <c r="B8" s="21"/>
      <c r="C8" s="21"/>
      <c r="D8" s="2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23" t="s">
        <v>20</v>
      </c>
      <c r="B9" s="25" t="s">
        <v>21</v>
      </c>
      <c r="C9" s="23" t="s">
        <v>22</v>
      </c>
      <c r="D9" s="23" t="s">
        <v>23</v>
      </c>
      <c r="E9" s="23" t="s">
        <v>24</v>
      </c>
      <c r="F9" s="23" t="s">
        <v>25</v>
      </c>
      <c r="G9" s="23" t="s">
        <v>27</v>
      </c>
      <c r="H9" s="23" t="s">
        <v>28</v>
      </c>
      <c r="I9" s="23" t="s">
        <v>29</v>
      </c>
      <c r="J9" s="23" t="s">
        <v>30</v>
      </c>
      <c r="K9" s="26" t="s">
        <v>32</v>
      </c>
      <c r="L9" s="23" t="s">
        <v>33</v>
      </c>
      <c r="M9" s="23" t="s">
        <v>34</v>
      </c>
      <c r="N9" s="23" t="s">
        <v>35</v>
      </c>
      <c r="O9" s="23" t="s">
        <v>36</v>
      </c>
      <c r="P9" s="23" t="s">
        <v>37</v>
      </c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0" customHeight="1">
      <c r="A10" s="29"/>
      <c r="B10" s="29"/>
      <c r="C10" s="29"/>
      <c r="D10" s="29"/>
      <c r="E10" s="29"/>
      <c r="F10" s="29" t="s">
        <v>38</v>
      </c>
      <c r="G10" s="29"/>
      <c r="H10" s="31" t="s">
        <v>40</v>
      </c>
      <c r="I10" s="29" t="s">
        <v>41</v>
      </c>
      <c r="J10" s="32" t="s">
        <v>42</v>
      </c>
      <c r="K10" s="34" t="s">
        <v>43</v>
      </c>
      <c r="L10" s="29" t="s">
        <v>44</v>
      </c>
      <c r="M10" s="29" t="s">
        <v>45</v>
      </c>
      <c r="N10" s="29" t="s">
        <v>46</v>
      </c>
      <c r="O10" s="35" t="s">
        <v>48</v>
      </c>
      <c r="P10" s="35" t="s">
        <v>46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2" t="s">
        <v>50</v>
      </c>
      <c r="J11" s="31"/>
      <c r="K11" s="37" t="s">
        <v>51</v>
      </c>
      <c r="L11" s="31"/>
      <c r="M11" s="31"/>
      <c r="N11" s="31"/>
      <c r="O11" s="38" t="s">
        <v>54</v>
      </c>
      <c r="P11" s="31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2" t="s">
        <v>55</v>
      </c>
      <c r="J12" s="31"/>
      <c r="K12" s="37" t="s">
        <v>56</v>
      </c>
      <c r="L12" s="31"/>
      <c r="M12" s="31"/>
      <c r="N12" s="31"/>
      <c r="O12" s="38" t="s">
        <v>58</v>
      </c>
      <c r="P12" s="31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40" t="s">
        <v>61</v>
      </c>
      <c r="J13" s="31"/>
      <c r="K13" s="37" t="s">
        <v>62</v>
      </c>
      <c r="L13" s="31"/>
      <c r="M13" s="31"/>
      <c r="N13" s="31"/>
      <c r="O13" s="38" t="s">
        <v>63</v>
      </c>
      <c r="P13" s="31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7" t="s">
        <v>65</v>
      </c>
      <c r="L14" s="31"/>
      <c r="M14" s="31"/>
      <c r="N14" s="31"/>
      <c r="O14" s="38" t="s">
        <v>61</v>
      </c>
      <c r="P14" s="31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8" t="s">
        <v>55</v>
      </c>
      <c r="P15" s="31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6" t="s">
        <v>20</v>
      </c>
      <c r="B18" s="47" t="s">
        <v>81</v>
      </c>
      <c r="C18" s="46" t="s">
        <v>22</v>
      </c>
      <c r="D18" s="46" t="s">
        <v>23</v>
      </c>
      <c r="E18" s="46" t="s">
        <v>24</v>
      </c>
      <c r="F18" s="46" t="s">
        <v>25</v>
      </c>
      <c r="G18" s="46" t="s">
        <v>27</v>
      </c>
      <c r="H18" s="46" t="s">
        <v>28</v>
      </c>
      <c r="I18" s="49" t="s">
        <v>32</v>
      </c>
      <c r="J18" s="46" t="s">
        <v>30</v>
      </c>
      <c r="K18" s="46" t="s">
        <v>34</v>
      </c>
      <c r="L18" s="46" t="s">
        <v>33</v>
      </c>
      <c r="M18" s="46" t="s">
        <v>29</v>
      </c>
      <c r="N18" s="46" t="s">
        <v>35</v>
      </c>
      <c r="O18" s="46" t="s">
        <v>36</v>
      </c>
      <c r="P18" s="46" t="s">
        <v>37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5.75" customHeight="1">
      <c r="A19" s="52"/>
      <c r="B19" s="52"/>
      <c r="C19" s="52"/>
      <c r="D19" s="52"/>
      <c r="E19" s="52"/>
      <c r="F19" s="53" t="s">
        <v>38</v>
      </c>
      <c r="G19" s="54" t="s">
        <v>89</v>
      </c>
      <c r="H19" s="55" t="s">
        <v>40</v>
      </c>
      <c r="I19" s="34" t="s">
        <v>91</v>
      </c>
      <c r="J19" s="56" t="s">
        <v>42</v>
      </c>
      <c r="K19" s="53" t="s">
        <v>45</v>
      </c>
      <c r="L19" s="53" t="s">
        <v>44</v>
      </c>
      <c r="M19" s="58" t="s">
        <v>95</v>
      </c>
      <c r="N19" s="53" t="s">
        <v>46</v>
      </c>
      <c r="O19" s="59" t="s">
        <v>48</v>
      </c>
      <c r="P19" s="59" t="s">
        <v>46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37" t="s">
        <v>101</v>
      </c>
      <c r="J20" s="51"/>
      <c r="K20" s="51"/>
      <c r="L20" s="51"/>
      <c r="M20" s="60" t="s">
        <v>103</v>
      </c>
      <c r="N20" s="51"/>
      <c r="O20" s="55" t="s">
        <v>54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37" t="s">
        <v>105</v>
      </c>
      <c r="J21" s="51"/>
      <c r="K21" s="51"/>
      <c r="L21" s="51"/>
      <c r="M21" s="60" t="s">
        <v>61</v>
      </c>
      <c r="N21" s="51"/>
      <c r="O21" s="55" t="s">
        <v>58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63" t="s">
        <v>55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6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5.86"/>
    <col customWidth="1" min="12" max="26" width="8.71"/>
  </cols>
  <sheetData>
    <row r="1" ht="24.0" customHeight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8" t="s">
        <v>16</v>
      </c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</v>
      </c>
      <c r="B4" s="8" t="s">
        <v>19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</v>
      </c>
      <c r="B5" s="8" t="s">
        <v>31</v>
      </c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11</v>
      </c>
      <c r="B6" s="33" t="s">
        <v>13</v>
      </c>
      <c r="C6" s="33" t="s">
        <v>13</v>
      </c>
      <c r="D6" s="33" t="s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15</v>
      </c>
      <c r="B7" s="8" t="s">
        <v>13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3" t="s">
        <v>20</v>
      </c>
      <c r="B9" s="23" t="s">
        <v>66</v>
      </c>
      <c r="C9" s="23" t="s">
        <v>67</v>
      </c>
      <c r="D9" s="23" t="s">
        <v>22</v>
      </c>
      <c r="E9" s="23" t="s">
        <v>68</v>
      </c>
      <c r="F9" s="23" t="s">
        <v>70</v>
      </c>
      <c r="G9" s="23" t="s">
        <v>71</v>
      </c>
      <c r="H9" s="23" t="s">
        <v>72</v>
      </c>
      <c r="I9" s="23" t="s">
        <v>34</v>
      </c>
      <c r="J9" s="25" t="s">
        <v>74</v>
      </c>
      <c r="K9" s="23" t="s">
        <v>75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  <c r="J10" s="31" t="s">
        <v>80</v>
      </c>
      <c r="K10" s="31">
        <v>500.0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  <c r="J11" s="31" t="s">
        <v>82</v>
      </c>
      <c r="K11" s="31">
        <v>35.0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  <c r="J12" s="31" t="s">
        <v>85</v>
      </c>
      <c r="K12" s="31">
        <v>157.0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 t="s">
        <v>87</v>
      </c>
      <c r="K13" s="31">
        <v>100.0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 t="s">
        <v>92</v>
      </c>
      <c r="K14" s="31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3" width="25.86"/>
  </cols>
  <sheetData>
    <row r="1" ht="24.0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8" t="s">
        <v>52</v>
      </c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</v>
      </c>
      <c r="B4" s="8" t="s">
        <v>59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</v>
      </c>
      <c r="B5" s="8" t="s">
        <v>64</v>
      </c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11</v>
      </c>
      <c r="B6" s="33" t="s">
        <v>13</v>
      </c>
      <c r="C6" s="33" t="s">
        <v>13</v>
      </c>
      <c r="D6" s="33" t="s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15</v>
      </c>
      <c r="B7" s="8" t="s">
        <v>13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8"/>
      <c r="B8" s="48"/>
      <c r="C8" s="48"/>
      <c r="D8" s="45"/>
      <c r="E8" s="45"/>
      <c r="F8" s="45"/>
      <c r="G8" s="45"/>
      <c r="H8" s="45"/>
      <c r="I8" s="45"/>
      <c r="J8" s="45"/>
      <c r="K8" s="45"/>
      <c r="L8" s="45"/>
      <c r="M8" s="4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23" t="s">
        <v>20</v>
      </c>
      <c r="B9" s="23" t="s">
        <v>66</v>
      </c>
      <c r="C9" s="23" t="s">
        <v>67</v>
      </c>
      <c r="D9" s="23" t="s">
        <v>22</v>
      </c>
      <c r="E9" s="23" t="s">
        <v>68</v>
      </c>
      <c r="F9" s="23" t="s">
        <v>93</v>
      </c>
      <c r="G9" s="23" t="s">
        <v>94</v>
      </c>
      <c r="H9" s="23" t="s">
        <v>71</v>
      </c>
      <c r="I9" s="23" t="s">
        <v>72</v>
      </c>
      <c r="J9" s="23" t="s">
        <v>34</v>
      </c>
      <c r="K9" s="25" t="s">
        <v>97</v>
      </c>
      <c r="L9" s="25" t="s">
        <v>74</v>
      </c>
      <c r="M9" s="23" t="s">
        <v>99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1"/>
      <c r="B10" s="31"/>
      <c r="C10" s="31"/>
      <c r="D10" s="31"/>
      <c r="E10" s="31"/>
      <c r="F10" s="61">
        <v>0.0</v>
      </c>
      <c r="G10" s="31" t="s">
        <v>104</v>
      </c>
      <c r="H10" s="31"/>
      <c r="I10" s="31"/>
      <c r="J10" s="31"/>
      <c r="K10" s="62" t="s">
        <v>106</v>
      </c>
      <c r="L10" s="31" t="s">
        <v>80</v>
      </c>
      <c r="M10" s="3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1"/>
      <c r="B11" s="31"/>
      <c r="C11" s="31"/>
      <c r="D11" s="31"/>
      <c r="E11" s="31"/>
      <c r="F11" s="31"/>
      <c r="G11" s="31" t="s">
        <v>109</v>
      </c>
      <c r="H11" s="31"/>
      <c r="I11" s="31"/>
      <c r="J11" s="31"/>
      <c r="K11" s="62" t="s">
        <v>110</v>
      </c>
      <c r="L11" s="31" t="s">
        <v>82</v>
      </c>
      <c r="M11" s="3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1"/>
      <c r="B12" s="31"/>
      <c r="C12" s="31"/>
      <c r="D12" s="31"/>
      <c r="E12" s="31"/>
      <c r="F12" s="31"/>
      <c r="G12" s="31" t="s">
        <v>111</v>
      </c>
      <c r="H12" s="31"/>
      <c r="I12" s="31"/>
      <c r="J12" s="31"/>
      <c r="K12" s="62" t="s">
        <v>112</v>
      </c>
      <c r="L12" s="31" t="s">
        <v>85</v>
      </c>
      <c r="M12" s="3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1"/>
      <c r="B13" s="31"/>
      <c r="C13" s="31"/>
      <c r="D13" s="31"/>
      <c r="E13" s="31"/>
      <c r="F13" s="31"/>
      <c r="G13" s="31" t="s">
        <v>115</v>
      </c>
      <c r="H13" s="31"/>
      <c r="I13" s="31"/>
      <c r="J13" s="31"/>
      <c r="K13" s="31"/>
      <c r="L13" s="31" t="s">
        <v>87</v>
      </c>
      <c r="M13" s="3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1"/>
      <c r="B14" s="31"/>
      <c r="C14" s="31"/>
      <c r="D14" s="31"/>
      <c r="E14" s="31"/>
      <c r="F14" s="31"/>
      <c r="G14" s="31" t="s">
        <v>116</v>
      </c>
      <c r="H14" s="31"/>
      <c r="I14" s="31"/>
      <c r="J14" s="31"/>
      <c r="K14" s="31"/>
      <c r="L14" s="31" t="s">
        <v>92</v>
      </c>
      <c r="M14" s="3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1"/>
      <c r="B15" s="31"/>
      <c r="C15" s="31"/>
      <c r="D15" s="31"/>
      <c r="E15" s="31"/>
      <c r="F15" s="69">
        <v>0.0416666666666667</v>
      </c>
      <c r="G15" s="31" t="s">
        <v>104</v>
      </c>
      <c r="H15" s="31"/>
      <c r="I15" s="31"/>
      <c r="J15" s="31"/>
      <c r="K15" s="31"/>
      <c r="L15" s="31"/>
      <c r="M15" s="3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1"/>
      <c r="B16" s="31"/>
      <c r="C16" s="31"/>
      <c r="D16" s="31"/>
      <c r="E16" s="31"/>
      <c r="F16" s="31"/>
      <c r="G16" s="31" t="s">
        <v>109</v>
      </c>
      <c r="H16" s="31"/>
      <c r="I16" s="31"/>
      <c r="J16" s="31"/>
      <c r="K16" s="31"/>
      <c r="L16" s="31"/>
      <c r="M16" s="3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1"/>
      <c r="B17" s="31"/>
      <c r="C17" s="31"/>
      <c r="D17" s="31"/>
      <c r="E17" s="31"/>
      <c r="F17" s="31"/>
      <c r="G17" s="31" t="s">
        <v>111</v>
      </c>
      <c r="H17" s="31"/>
      <c r="I17" s="31"/>
      <c r="J17" s="31"/>
      <c r="K17" s="31"/>
      <c r="L17" s="31"/>
      <c r="M17" s="3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/>
      <c r="B18" s="31"/>
      <c r="C18" s="31"/>
      <c r="D18" s="31"/>
      <c r="E18" s="31"/>
      <c r="F18" s="61"/>
      <c r="G18" s="31" t="s">
        <v>115</v>
      </c>
      <c r="H18" s="31"/>
      <c r="I18" s="31"/>
      <c r="J18" s="31"/>
      <c r="K18" s="31"/>
      <c r="L18" s="31"/>
      <c r="M18" s="3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1"/>
      <c r="B19" s="31"/>
      <c r="C19" s="31"/>
      <c r="D19" s="31"/>
      <c r="E19" s="31"/>
      <c r="F19" s="31"/>
      <c r="G19" s="31" t="s">
        <v>116</v>
      </c>
      <c r="H19" s="31"/>
      <c r="I19" s="31"/>
      <c r="J19" s="31"/>
      <c r="K19" s="31"/>
      <c r="L19" s="31"/>
      <c r="M19" s="3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25.86"/>
    <col customWidth="1" min="11" max="11" width="31.57"/>
    <col customWidth="1" min="12" max="12" width="25.86"/>
    <col customWidth="1" min="13" max="13" width="28.71"/>
    <col customWidth="1" min="14" max="14" width="23.57"/>
    <col customWidth="1" min="15" max="16" width="15.86"/>
    <col customWidth="1" min="17" max="30" width="8.71"/>
  </cols>
  <sheetData>
    <row r="1" ht="24.0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6" t="s">
        <v>1</v>
      </c>
      <c r="B3" s="8" t="s">
        <v>385</v>
      </c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6" t="s">
        <v>5</v>
      </c>
      <c r="B4" s="8" t="s">
        <v>387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" t="s">
        <v>9</v>
      </c>
      <c r="B5" s="8" t="s">
        <v>389</v>
      </c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11</v>
      </c>
      <c r="B6" s="33" t="s">
        <v>13</v>
      </c>
      <c r="C6" s="33" t="s">
        <v>13</v>
      </c>
      <c r="D6" s="33" t="s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" t="s">
        <v>15</v>
      </c>
      <c r="B7" s="8" t="s">
        <v>13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0.0" customHeight="1">
      <c r="A9" s="23" t="s">
        <v>20</v>
      </c>
      <c r="B9" s="23" t="s">
        <v>66</v>
      </c>
      <c r="C9" s="23" t="s">
        <v>67</v>
      </c>
      <c r="D9" s="23" t="s">
        <v>22</v>
      </c>
      <c r="E9" s="23" t="s">
        <v>68</v>
      </c>
      <c r="F9" s="23" t="s">
        <v>70</v>
      </c>
      <c r="G9" s="23" t="s">
        <v>71</v>
      </c>
      <c r="H9" s="23" t="s">
        <v>72</v>
      </c>
      <c r="I9" s="23" t="s">
        <v>34</v>
      </c>
      <c r="J9" s="23" t="s">
        <v>312</v>
      </c>
      <c r="K9" s="23" t="s">
        <v>316</v>
      </c>
      <c r="L9" s="23" t="s">
        <v>97</v>
      </c>
      <c r="M9" s="23" t="s">
        <v>321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ht="15.75" customHeight="1">
      <c r="A10" s="4" t="s">
        <v>305</v>
      </c>
      <c r="B10" s="4">
        <v>1.0</v>
      </c>
      <c r="C10" s="157">
        <v>46220.8333333333</v>
      </c>
      <c r="D10" s="158">
        <v>46221.0</v>
      </c>
      <c r="E10" s="158">
        <v>46220.0</v>
      </c>
      <c r="F10" s="4">
        <v>20.0</v>
      </c>
      <c r="G10" s="4" t="s">
        <v>277</v>
      </c>
      <c r="H10" s="4" t="s">
        <v>281</v>
      </c>
      <c r="I10" s="4" t="s">
        <v>232</v>
      </c>
      <c r="J10" s="4" t="s">
        <v>315</v>
      </c>
      <c r="K10" s="4" t="s">
        <v>397</v>
      </c>
      <c r="L10" s="4" t="s">
        <v>300</v>
      </c>
      <c r="M10" s="4">
        <v>2410.0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25.86"/>
    <col customWidth="1" min="13" max="13" width="19.71"/>
  </cols>
  <sheetData>
    <row r="1" ht="24.0" customHeight="1">
      <c r="A1" s="1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8" t="s">
        <v>495</v>
      </c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</v>
      </c>
      <c r="B4" s="8" t="s">
        <v>496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</v>
      </c>
      <c r="B5" s="8" t="s">
        <v>497</v>
      </c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11</v>
      </c>
      <c r="B6" s="8" t="s">
        <v>13</v>
      </c>
      <c r="C6" s="8" t="s">
        <v>13</v>
      </c>
      <c r="D6" s="33" t="s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15</v>
      </c>
      <c r="B7" s="8" t="s">
        <v>13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23" t="s">
        <v>20</v>
      </c>
      <c r="B9" s="23" t="s">
        <v>66</v>
      </c>
      <c r="C9" s="23" t="s">
        <v>67</v>
      </c>
      <c r="D9" s="23" t="s">
        <v>22</v>
      </c>
      <c r="E9" s="23" t="s">
        <v>70</v>
      </c>
      <c r="F9" s="23" t="s">
        <v>71</v>
      </c>
      <c r="G9" s="23" t="s">
        <v>72</v>
      </c>
      <c r="H9" s="23" t="s">
        <v>34</v>
      </c>
      <c r="I9" s="23" t="s">
        <v>336</v>
      </c>
      <c r="J9" s="23" t="s">
        <v>340</v>
      </c>
      <c r="K9" s="23" t="s">
        <v>344</v>
      </c>
      <c r="L9" s="23" t="s">
        <v>347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 t="s">
        <v>498</v>
      </c>
      <c r="J10" s="31" t="s">
        <v>499</v>
      </c>
      <c r="K10" s="159">
        <v>0.15</v>
      </c>
      <c r="L10" s="3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