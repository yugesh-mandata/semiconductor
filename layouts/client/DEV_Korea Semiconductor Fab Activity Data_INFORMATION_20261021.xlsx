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yugesh/semiconductor/layouts/client/"/>
    </mc:Choice>
  </mc:AlternateContent>
  <xr:revisionPtr revIDLastSave="0" documentId="8_{377DEAE7-87E2-354A-B727-51C829582209}" xr6:coauthVersionLast="47" xr6:coauthVersionMax="47" xr10:uidLastSave="{00000000-0000-0000-0000-000000000000}"/>
  <bookViews>
    <workbookView xWindow="-20" yWindow="660" windowWidth="29400" windowHeight="18460" xr2:uid="{00000000-000D-0000-FFFF-FFFF00000000}"/>
  </bookViews>
  <sheets>
    <sheet name="INFORMATION" sheetId="1" r:id="rId1"/>
    <sheet name="FT_LIST_ZONE" sheetId="2" r:id="rId2"/>
    <sheet name="ZONE_LINEAGE_MASTER" sheetId="7" r:id="rId3"/>
    <sheet name="FT_PRESENCE_HOURLY" sheetId="3" r:id="rId4"/>
    <sheet name="FT_DWELL_DAILY" sheetId="4" r:id="rId5"/>
    <sheet name="FT_MOVEMENT_OD_DAILY" sheetId="5" r:id="rId6"/>
    <sheet name="FT_METRICS_DAILY" sheetId="6" r:id="rId7"/>
  </sheets>
  <calcPr calcId="0"/>
  <extLst>
    <ext uri="GoogleSheetsCustomDataVersion2">
      <go:sheetsCustomData xmlns:go="http://customooxmlschemas.google.com/" r:id="rId10" roundtripDataChecksum="BZMByor3FJ1V7HFLjfPSQ7jYJo6c7tedjknhHBnc2P4="/>
    </ext>
  </extLst>
</workbook>
</file>

<file path=xl/sharedStrings.xml><?xml version="1.0" encoding="utf-8"?>
<sst xmlns="http://schemas.openxmlformats.org/spreadsheetml/2006/main" count="1251" uniqueCount="574">
  <si>
    <t>FT_LIST_ZONE</t>
  </si>
  <si>
    <t>FT_DWELL_DAILY</t>
  </si>
  <si>
    <t>FT_PRESENCE_HOURLY</t>
  </si>
  <si>
    <t>Korea Semiconductor Fab Activity Data</t>
  </si>
  <si>
    <t>Version: 20261016</t>
  </si>
  <si>
    <t>Definition</t>
  </si>
  <si>
    <t>Daily population count bucketed by dwell start-hour x dwell-duration, used to separate short visits from long-duration presence (e.g. construction/installation crews).</t>
  </si>
  <si>
    <t>Instant vs. Interval</t>
  </si>
  <si>
    <t>Key Grain</t>
  </si>
  <si>
    <t>Key Inference</t>
  </si>
  <si>
    <t>[Introduction]</t>
  </si>
  <si>
    <t>TBD</t>
  </si>
  <si>
    <t>Interval</t>
  </si>
  <si>
    <t>Dataset name</t>
  </si>
  <si>
    <t>Limitation</t>
  </si>
  <si>
    <t>Korea Semiconductor Fab Activity Signal</t>
  </si>
  <si>
    <t>record_id</t>
  </si>
  <si>
    <t>Data design &amp; maintenance provider</t>
  </si>
  <si>
    <t>activity_at</t>
  </si>
  <si>
    <t>activity_date</t>
  </si>
  <si>
    <t>activity_hour</t>
  </si>
  <si>
    <t>day_of_week</t>
  </si>
  <si>
    <t>is_public_holiday</t>
  </si>
  <si>
    <t>zone_code</t>
  </si>
  <si>
    <t>population_presence</t>
  </si>
  <si>
    <t>Mandata Corporation ('MD')</t>
  </si>
  <si>
    <t>Key methodology and metrics</t>
  </si>
  <si>
    <t>company_name_en</t>
  </si>
  <si>
    <t>security_code</t>
  </si>
  <si>
    <t>activity_start_hour</t>
  </si>
  <si>
    <t>duration_code</t>
  </si>
  <si>
    <t>campus_name</t>
  </si>
  <si>
    <t>campus_code</t>
  </si>
  <si>
    <t>campus_address</t>
  </si>
  <si>
    <t>production_unit_name</t>
  </si>
  <si>
    <t>population_dwell</t>
  </si>
  <si>
    <t>production_unit_code</t>
  </si>
  <si>
    <t>production_unit_type</t>
  </si>
  <si>
    <t>zone_type</t>
  </si>
  <si>
    <t>TOTAL</t>
  </si>
  <si>
    <t>zone_type_confidence</t>
  </si>
  <si>
    <t>RP</t>
  </si>
  <si>
    <t>primary_product_association</t>
  </si>
  <si>
    <t>product_association_confidence</t>
  </si>
  <si>
    <t>WP</t>
  </si>
  <si>
    <t>VP</t>
  </si>
  <si>
    <t>Major data source</t>
  </si>
  <si>
    <t>Powered by KT Corporation (mobile-network population data)</t>
  </si>
  <si>
    <t>UNCLASSIFIED</t>
  </si>
  <si>
    <t>M16</t>
  </si>
  <si>
    <t>FRONT_END_FAB</t>
  </si>
  <si>
    <t>OP</t>
  </si>
  <si>
    <t>Data gathering process</t>
  </si>
  <si>
    <t>KT-processed mobility data + MD's zone mapping, standardization and enrichment.</t>
  </si>
  <si>
    <t>DRAM</t>
  </si>
  <si>
    <t>PACKAGING_TEST</t>
  </si>
  <si>
    <t>EX</t>
  </si>
  <si>
    <t>HBM</t>
  </si>
  <si>
    <t>What it measures</t>
  </si>
  <si>
    <t>UNKNOWN</t>
  </si>
  <si>
    <t>NAND</t>
  </si>
  <si>
    <t>LOGIC</t>
  </si>
  <si>
    <t>Ticker / fab coverage</t>
  </si>
  <si>
    <t>MIXED</t>
  </si>
  <si>
    <t>Source signal</t>
  </si>
  <si>
    <t>LTE/5G signal + CDR at base stations, augmented with GPS / MDT (GNSS)</t>
  </si>
  <si>
    <t>Panel &amp; scale-up (TBD)</t>
  </si>
  <si>
    <t>M30_59</t>
  </si>
  <si>
    <t>[Data coverage and frequencies]</t>
  </si>
  <si>
    <t>M60_119</t>
  </si>
  <si>
    <t>Locational taxonomy</t>
  </si>
  <si>
    <t>M120_179</t>
  </si>
  <si>
    <t>M180_239</t>
  </si>
  <si>
    <t>Company and Campus</t>
  </si>
  <si>
    <t>Production Unit</t>
  </si>
  <si>
    <t>Zone</t>
  </si>
  <si>
    <t>Spatial units</t>
  </si>
  <si>
    <t>Point-in-time policy</t>
  </si>
  <si>
    <t>Frequency &amp; Lag</t>
  </si>
  <si>
    <t>Delivery frequency</t>
  </si>
  <si>
    <t>Daily (calendar day based)</t>
  </si>
  <si>
    <t>Data frequency</t>
  </si>
  <si>
    <t>Lag</t>
  </si>
  <si>
    <t>5 business days</t>
  </si>
  <si>
    <t>History</t>
  </si>
  <si>
    <t>From 2020-01-01</t>
  </si>
  <si>
    <t>[Files]</t>
  </si>
  <si>
    <t>File</t>
  </si>
  <si>
    <t>Measurement basis</t>
  </si>
  <si>
    <t>Record grain</t>
  </si>
  <si>
    <t>Frequency</t>
  </si>
  <si>
    <t>On change (versioned)</t>
  </si>
  <si>
    <t>Hourly, delivered daily</t>
  </si>
  <si>
    <t>Daily</t>
  </si>
  <si>
    <t>FT_MOVEMENT_OD_DAILY</t>
  </si>
  <si>
    <t>Interval: Origin–destination movement</t>
  </si>
  <si>
    <t>FT_METRICS_DAILY</t>
  </si>
  <si>
    <t>date × fab × zone × metric × parameters</t>
  </si>
  <si>
    <t>[Data Dictionary]</t>
  </si>
  <si>
    <t>0/blank legends</t>
  </si>
  <si>
    <t>0</t>
  </si>
  <si>
    <t>zero activity (i.e. available but no observed activity)</t>
  </si>
  <si>
    <t>(blank) or N/A</t>
  </si>
  <si>
    <t>N/A (e.g. not applicable / not provided for this row)</t>
  </si>
  <si>
    <t>missing date</t>
  </si>
  <si>
    <t>No data was collected or observed on that date</t>
  </si>
  <si>
    <t>file name</t>
  </si>
  <si>
    <t>field name</t>
  </si>
  <si>
    <t>dtype(schema)</t>
  </si>
  <si>
    <t>description</t>
  </si>
  <si>
    <t>Illustrative value</t>
  </si>
  <si>
    <t>VARCHAR(40)</t>
  </si>
  <si>
    <t>-</t>
  </si>
  <si>
    <t>DATE</t>
  </si>
  <si>
    <t>2026-01-01</t>
  </si>
  <si>
    <t>2026-01-05</t>
  </si>
  <si>
    <t>Disclosed listed-company name, in English</t>
  </si>
  <si>
    <t>SK HYNIX INC</t>
  </si>
  <si>
    <t>ISIN (12-digit)</t>
  </si>
  <si>
    <t>VARCHAR(12)</t>
  </si>
  <si>
    <t>International Securities Identification Number (ISIN) identifying the listed company: 2-letter country code (KR) + 9-digit national security identifier + 1 check digit</t>
  </si>
  <si>
    <t>KR7000660001</t>
  </si>
  <si>
    <t>VARCHAR(24)</t>
  </si>
  <si>
    <t>Fab campus name, by location</t>
  </si>
  <si>
    <t>ICHEON</t>
  </si>
  <si>
    <t>VARCHAR(16)</t>
  </si>
  <si>
    <t>VARCHAR(80)</t>
  </si>
  <si>
    <t>Fab campus address</t>
  </si>
  <si>
    <t>2091 Gyeongchung-daero, Bubal-eup, Icheon-si</t>
  </si>
  <si>
    <t>See Code List - production_unit_type</t>
  </si>
  <si>
    <t>See Code List - zone_type</t>
  </si>
  <si>
    <t>See Code List - zone_type_confidence</t>
  </si>
  <si>
    <t>VARCHAR(8)</t>
  </si>
  <si>
    <t>Confidence level of the zone-type classification</t>
  </si>
  <si>
    <t>HIGH</t>
  </si>
  <si>
    <t>See Code List - primary_product_association</t>
  </si>
  <si>
    <t>Product family the zone is associated with, by public/spatial tagging (association only - NOT a direct production measurement; expressed as e.g. 'HBM-associated fab activity')</t>
  </si>
  <si>
    <t>See Code List - product_association_confidence</t>
  </si>
  <si>
    <t>Confidence level of the product-association tagging</t>
  </si>
  <si>
    <t>HIGHLY_ASSOC</t>
  </si>
  <si>
    <t>DATETIME</t>
  </si>
  <si>
    <t>2026-07-17 08:00</t>
  </si>
  <si>
    <t>2026-07-18</t>
  </si>
  <si>
    <t>Calendar date on which the activity occurred</t>
  </si>
  <si>
    <t>2026-07-17</t>
  </si>
  <si>
    <t>0-23</t>
  </si>
  <si>
    <t>TINYINT</t>
  </si>
  <si>
    <t>8</t>
  </si>
  <si>
    <t>MON-SUN</t>
  </si>
  <si>
    <t>VARCHAR(3)</t>
  </si>
  <si>
    <t>Day of week, derived from activity_date</t>
  </si>
  <si>
    <t>FRI</t>
  </si>
  <si>
    <t>Y/N</t>
  </si>
  <si>
    <t>CHAR(1)</t>
  </si>
  <si>
    <t>Whether activity_date is a designated public holiday</t>
  </si>
  <si>
    <t>N</t>
  </si>
  <si>
    <t>Mandata analysis-zone identifier (links to FT_LIST_ZONE.zone_code)</t>
  </si>
  <si>
    <t>See Code List - population_type</t>
  </si>
  <si>
    <t>DOUBLE</t>
  </si>
  <si>
    <t>1254.3</t>
  </si>
  <si>
    <t>Calendar date on which the dwell period began</t>
  </si>
  <si>
    <t>Hour of day at which the dwell period started (arrival hour)</t>
  </si>
  <si>
    <t>See Code List - duration_code</t>
  </si>
  <si>
    <t>Estimated population count within this start-hour x duration bucket</t>
  </si>
  <si>
    <t>326</t>
  </si>
  <si>
    <t>2026-07-17 20:00</t>
  </si>
  <si>
    <t>Calendar date on which the movement occurred</t>
  </si>
  <si>
    <t>Hour of day of the movement volume</t>
  </si>
  <si>
    <t>20</t>
  </si>
  <si>
    <t>origin_geo_code</t>
  </si>
  <si>
    <t>VARCHAR(10)</t>
  </si>
  <si>
    <t>11680</t>
  </si>
  <si>
    <t>origin_distance_band_code</t>
  </si>
  <si>
    <t>See Code List - origin_distance_band_code</t>
  </si>
  <si>
    <t>D10_30</t>
  </si>
  <si>
    <t>2410</t>
  </si>
  <si>
    <t>Timestamp of the underlying activity this metric summarizes</t>
  </si>
  <si>
    <t>2026-07-17 00:00</t>
  </si>
  <si>
    <t>Metric reference date (calendar date this metric row summarizes)</t>
  </si>
  <si>
    <t>(Draft) Hour parameter associated with the metric, if the metric is computed at hourly granularity; likely blank/N/A for metrics computed at daily grain</t>
  </si>
  <si>
    <t>N/A</t>
  </si>
  <si>
    <t>Day of week corresponding to the metric date, provided for convenience filtering</t>
  </si>
  <si>
    <t>Whether the metric date is a designated public holiday, provided for convenience filtering</t>
  </si>
  <si>
    <t>Mandata analysis-zone identifier this metric is calculated for (or a fab-level aggregate)</t>
  </si>
  <si>
    <t>ft_metrics_name</t>
  </si>
  <si>
    <t>See Code List - ft_metrics_code ("label_on" column)</t>
  </si>
  <si>
    <t>Standard FT-metric display name</t>
  </si>
  <si>
    <t>ft_metrics_code</t>
  </si>
  <si>
    <t>See Code List - ft_metrics_code</t>
  </si>
  <si>
    <t>ft_metrics_value</t>
  </si>
  <si>
    <t>Calculated metric value for this zone / date / metric combination</t>
  </si>
  <si>
    <t>formula</t>
  </si>
  <si>
    <t>VARCHAR(200)</t>
  </si>
  <si>
    <t>Description or reference of the calculation formula/methodology used to derive ft_metrics_value</t>
  </si>
  <si>
    <t>DRAFT NOTE — All sample rows across tabs are illustrative only. The final zone registry, codes and values are delivered at customer onboarding.</t>
  </si>
  <si>
    <t>[Code List]</t>
  </si>
  <si>
    <t>code_list_name</t>
  </si>
  <si>
    <t>code</t>
  </si>
  <si>
    <t>label_on</t>
  </si>
  <si>
    <t>definition</t>
  </si>
  <si>
    <t>Front-End Fab</t>
  </si>
  <si>
    <t>Front-end wafer production process facility (Production Unit = FRONT_END_FAB or PACKAGING_TEST)</t>
  </si>
  <si>
    <t>Packaging &amp; Test</t>
  </si>
  <si>
    <t>Packaging / test process facility</t>
  </si>
  <si>
    <t>Unknown</t>
  </si>
  <si>
    <t>Production unit type could not be determined from available information</t>
  </si>
  <si>
    <t>High confidence</t>
  </si>
  <si>
    <t>Zone boundary/type mapping is well established with strong corroborating evidence</t>
  </si>
  <si>
    <t>MEDIUM</t>
  </si>
  <si>
    <t>Medium confidence</t>
  </si>
  <si>
    <t>Zone boundary/type mapping has partial or indirect corroborating evidence</t>
  </si>
  <si>
    <t>LOW</t>
  </si>
  <si>
    <t>Low confidence</t>
  </si>
  <si>
    <t>Zone boundary/type mapping is preliminary or based on limited evidence</t>
  </si>
  <si>
    <t>Zone associated with High Bandwidth Memory production/packaging, by public/spatial tagging (association only, not a direct production measurement)</t>
  </si>
  <si>
    <t>Zone associated with DRAM production</t>
  </si>
  <si>
    <t>Zone associated with NAND flash production</t>
  </si>
  <si>
    <t>Zone associated with LOGIC semiconductor production</t>
  </si>
  <si>
    <t>Mixed</t>
  </si>
  <si>
    <t>Zone associated with more than one product family; cannot be uniquely tagged</t>
  </si>
  <si>
    <t>No product association identified for this zone</t>
  </si>
  <si>
    <t>Highly associated</t>
  </si>
  <si>
    <t>Strong public/spatial evidence supporting the tagged product association</t>
  </si>
  <si>
    <t>ASSOC</t>
  </si>
  <si>
    <t>Associated</t>
  </si>
  <si>
    <t>Moderate evidence supporting the tagged product association</t>
  </si>
  <si>
    <t>UNCERTAIN</t>
  </si>
  <si>
    <t>Uncertain</t>
  </si>
  <si>
    <t>Limited or conflicting evidence for the tagged product association</t>
  </si>
  <si>
    <t>population_type</t>
  </si>
  <si>
    <t>Total population</t>
  </si>
  <si>
    <t>All persons present in the zone/hour, regardless of sub-classification</t>
  </si>
  <si>
    <t>Working population</t>
  </si>
  <si>
    <t>Persons whose day-time resident SGG differs from their night-time resident SGG and whose day-time resident SGG matches the zone's area (i.e., they commute in to work) - derived by Mandata from KT's day/night resident SGG codes (DAY_RSDN_SGG_CD / NGT_RSDN_SGG_CD); not delivered directly by KT</t>
  </si>
  <si>
    <t>Visiting population</t>
  </si>
  <si>
    <t>Persons whose day- and night-time resident SGG both differ from the zone's area (present but not residing or regularly working there) - derived by Mandata from KT's day/night resident SGG codes</t>
  </si>
  <si>
    <t>Resident population</t>
  </si>
  <si>
    <t>Persons whose day- and night-time resident SGG both match the zone's area (i.e., they live in the immediate vicinity) - derived by Mandata from KT's day/night resident SGG codes</t>
  </si>
  <si>
    <t>Unclassified population</t>
  </si>
  <si>
    <t>Persons who cannot be confidently assigned to WP/VP/RP from the day/night resident SGG comparison (e.g., missing or ambiguous SGG match)</t>
  </si>
  <si>
    <t>30-59 minutes</t>
  </si>
  <si>
    <t>Dwell duration bucket: 30 to 59 minutes (matches KT STY_MNUT_CD = 1)</t>
  </si>
  <si>
    <t>60-119 minutes</t>
  </si>
  <si>
    <t>Dwell duration bucket: 60 to 119 minutes (matches KT STY_MNUT_CD = 2)</t>
  </si>
  <si>
    <t>120-179 minutes</t>
  </si>
  <si>
    <t>Dwell duration bucket: 120 to 179 minutes (matches KT STY_MNUT_CD = 3)</t>
  </si>
  <si>
    <t>180-239 minutes</t>
  </si>
  <si>
    <t>Dwell duration bucket: 180 to 239 minutes (matches KT STY_MNUT_CD = 4)</t>
  </si>
  <si>
    <t>MON</t>
  </si>
  <si>
    <t>Monday</t>
  </si>
  <si>
    <t>Day of week, derived from the activity/observation date</t>
  </si>
  <si>
    <t>TUE</t>
  </si>
  <si>
    <t>Tuesday</t>
  </si>
  <si>
    <t>WED</t>
  </si>
  <si>
    <t>Wednesday</t>
  </si>
  <si>
    <t>THU</t>
  </si>
  <si>
    <t>Thursday</t>
  </si>
  <si>
    <t>Friday</t>
  </si>
  <si>
    <t>SAT</t>
  </si>
  <si>
    <t>Saturday</t>
  </si>
  <si>
    <t>SUN</t>
  </si>
  <si>
    <t>Sunday</t>
  </si>
  <si>
    <t>Y</t>
  </si>
  <si>
    <t>Yes</t>
  </si>
  <si>
    <t>The activity/observation date is a designated Korean public holiday</t>
  </si>
  <si>
    <t>No</t>
  </si>
  <si>
    <t>The activity/observation date is not a public holiday</t>
  </si>
  <si>
    <t>Night Activity Ratio</t>
  </si>
  <si>
    <t>Weekend Activity Ratio</t>
  </si>
  <si>
    <t>Activity Breadth</t>
  </si>
  <si>
    <t>D00_10</t>
  </si>
  <si>
    <t>0-10 km</t>
  </si>
  <si>
    <t>Distance band: origin SGG centroid is 0km (inclusive) to under 10km from the fab zone</t>
  </si>
  <si>
    <t>10-30 km</t>
  </si>
  <si>
    <t>Distance band: 10km (inclusive) to under 30km</t>
  </si>
  <si>
    <t>D30_60</t>
  </si>
  <si>
    <t>30-60 km</t>
  </si>
  <si>
    <t>Distance band: 30km (inclusive) to under 60km</t>
  </si>
  <si>
    <t>D60_100</t>
  </si>
  <si>
    <t>60-100 km</t>
  </si>
  <si>
    <t>Distance band: 60km (inclusive) to under 100km</t>
  </si>
  <si>
    <t>D100_200</t>
  </si>
  <si>
    <t>100-200 km</t>
  </si>
  <si>
    <t>Distance band: 100km (inclusive) to under 200km</t>
  </si>
  <si>
    <t>D200_PLUS</t>
  </si>
  <si>
    <t>200+ km</t>
  </si>
  <si>
    <t>Distance band: 200km or more</t>
  </si>
  <si>
    <t>Origin distance band could not be determined (e.g., missing or unresolvable origin SGG)</t>
  </si>
  <si>
    <t>Inbound movement volume from an administrative SGG (city/county/district) origin to a fab zone destination (Origin-Destination), used to profile where the population working at / visiting a fab zone commutes from.</t>
  </si>
  <si>
    <t>Interval; a flow accumulated over an hour, not a point-in-time count</t>
  </si>
  <si>
    <t>date x zone x ft_metrics_code (plus parameters where applicable, e.g. baseline/observation window)</t>
  </si>
  <si>
    <t>- Raw data files → FT metrics → Investment metrics
- MD divides all FT data into two types:
    - Instant: a snapshot of people present at a single point in time (e.g. hourly presence)
    - Interval: activity measured over a span of time (e.g. dwell duration, origin–destination movement)</t>
  </si>
  <si>
    <t>- Physical activity observed within Mandata analysis zones inside semiconductor campuses:
    - Presence: people on site at a point in time
    - Dwell: how long they stay
    - Movement: where they travel from
- A proxy for fab operating and expansion activity
- NOT official production output</t>
  </si>
  <si>
    <t>- SK Hynix Inc (000660, ISIN KR7000660001): 3 campuses
- Samsung Electronics Co Ltd (005930, ISIN KR7005930003): 5 campuses</t>
  </si>
  <si>
    <t>Change priority</t>
  </si>
  <si>
    <t>Change summary</t>
  </si>
  <si>
    <t>Mid</t>
  </si>
  <si>
    <t>Rewrote the data flow as Raw data files → FT metrics → Investment metrics; fixed grammar; added definitions of instant and interval data.</t>
  </si>
  <si>
    <t>High</t>
  </si>
  <si>
    <t>Corrected wording: activity is observed in Mandata analysis zones inside campuses (per Notion zone docs); split into bullets; removed the duplicate instant/interval sentence.</t>
  </si>
  <si>
    <t>Low</t>
  </si>
  <si>
    <t>Reformatted as one bullet per company; added Samsung ticker 005930 for consistency.</t>
  </si>
  <si>
    <t>- Panel: KT mobile subscribers
- Grossed up to total population in 4 steps:
    1. Market-share inverse
    2. LTE/5G subscription rate
    3. Phone-on ratio
    4. Resident-registration calibration</t>
  </si>
  <si>
    <t>Reformatted the 4-step gross-up as a bulleted, numbered list (wording unchanged).</t>
  </si>
  <si>
    <t>Overall structure</t>
  </si>
  <si>
    <t>Company &gt; Campus &gt; Campus division (CD) &gt; Zone (OP / EX / Others)</t>
  </si>
  <si>
    <t>Taxonomy changed to Company &gt; Campus &gt; Campus division (CD) &gt; Zone (OP / EX / Others), per Notion 'How to classify a zone'; fixed 'strucuture' typo.</t>
  </si>
  <si>
    <t>- Campuses with memory production; standalone HQ and R&amp;D sites are excluded
- R&amp;D, offices and amenities inside a campus are covered as Others</t>
  </si>
  <si>
    <t>Clarified scope: standalone HQ and R&amp;D sites excluded; R&amp;D, offices and amenities inside a campus are covered as Others.</t>
  </si>
  <si>
    <t>Campus division (CD)</t>
  </si>
  <si>
    <t>A contiguous area within a campus, bounded by public infrastructure such as public roads (e.g. a parking lot across a public road is its own CD). Contains its OP, EX and Others zones.</t>
  </si>
  <si>
    <t>Row now defines Campus division (CD), replacing Production Unit (moved to row 20).</t>
  </si>
  <si>
    <t>- OP (Operation): an existing building in operation where semiconductors are fabricated, or packaged and tested
- EX (Expansion): land or buildings where new production capacity is being built (new fabs, cleanrooms, equipment installation and commissioning)
- Others: everything in a CD that is neither OP nor EX (R&amp;D, offices, parking, amenities); calculated as CD − OP − EX, not drawn
- Zone is the key value of this dataset</t>
  </si>
  <si>
    <t>Row now defines Zone with OP / EX / Others, replacing Fab (Fab is now a production-unit type).</t>
  </si>
  <si>
    <t>- Assigned to OP zones only; each OP zone covers one facility
- Types:
    - FRONT_END_FAB: front-end fabrication facility
    - PACKAGING_TEST: package and test facility
    - MIXED: one footprint holding both fab and package-and-test lines
    - UNKNOWN: confirmed production facility whose type can't be determined yet
- NULL for CD and EX zones (not applicable); UNKNOWN name when an OP zone's unit is not identified yet</t>
  </si>
  <si>
    <t>Row now defines Production Unit per Notion 'How to classify a zone': OP zones only, one facility per zone; types FRONT_END_FAB / PACKAGING_TEST / MIXED / UNKNOWN with definitions; NULL for CD and EX.</t>
  </si>
  <si>
    <t>- Presence: 50m × 50m cells (KATEC grid)
- Dwell: 250m × 250m cells (UTM-K grid)
- Movement: origin by administrative district (SGG: city / county / district)</t>
  </si>
  <si>
    <t>Reformatted as one bullet per data type with its spatial unit; wording clarified, content unchanged.</t>
  </si>
  <si>
    <t>- Every file is versioned the same way: a row is valid from pit_available_from until pit_available_to (NULL = current version). Key: (record_id, pit_available_from)
- Real-world date: effective_from / effective_to (zones), effective_at (lineage), activity_at (foot-traffic and metrics)
- Backtests: use rows where pit_available_from ≤ as-of date &lt; pit_available_to, or pit_available_to is NULL
- Restatements: shipped rows are never edited; the row is closed with pit_available_to and a new row with the same record_id is added
- Backfill: history before the first client release has pit_available_from = effective_from (zones) or activity_date (foot-traffic)</t>
  </si>
  <si>
    <t>PIT policy rewritten with Notion field names (effective_from/to, pit_available_from/to, record_id); adds backtest rule, restatement and backfill rules.</t>
  </si>
  <si>
    <t>- Hourly (00–23): FT_PRESENCE_HOURLY, FT_MOVEMENT_OD_DAILY
- Daily: FT_DWELL_DAILY, FT_METRICS_DAILY
- On change: FT_LIST_ZONE</t>
  </si>
  <si>
    <t>Listed data frequency per file; movement OD is hourly (per data dictionary C88), not daily; removed undefined 'flow'; added FT_LIST_ZONE (on change).</t>
  </si>
  <si>
    <t>What does a record mean</t>
  </si>
  <si>
    <t>New column F 'What does a record mean' added to the Files table (F29:F34).</t>
  </si>
  <si>
    <t>Reference: zone master with full version history</t>
  </si>
  <si>
    <t>zone × pit_available_from</t>
  </si>
  <si>
    <t>One version of one zone's attributes (e.g. SKH_ICH_OP_03 as known from a given pit_available_from date)</t>
  </si>
  <si>
    <t>Measurement basis and record grain rewritten: FT_LIST_ZONE is a versioned zone reference table (one row per zone version), not company × fab × zone.</t>
  </si>
  <si>
    <t>ZONE_LINEAGE_MASTER</t>
  </si>
  <si>
    <t>Reference: zone splits and transformations (EX → OP), linking parent and child zone records</t>
  </si>
  <si>
    <t>parent_record_id × child_record_id × pit_available_from</t>
  </si>
  <si>
    <t>One link from a parent zone version to a child zone version (e.g. SKH_ICH_002 → SKH_ICH_004, TRANSFORM)</t>
  </si>
  <si>
    <t>New Files row for ZONE_LINEAGE_MASTER (from the Notion zone master framework).</t>
  </si>
  <si>
    <t>Instant: unique persons present in each zone during each hour (each person counted once)</t>
  </si>
  <si>
    <t>date × hour × zone × population_type × pit_available_from</t>
  </si>
  <si>
    <t>Estimated number of unique persons of one population type present in one zone during one hour</t>
  </si>
  <si>
    <t>Measurement basis clarified (per zone, per hour, deduplicated); record grain corrected to the file's actual fields (no cell / segment columns; version added). 'Estimated' added to the record meaning (values are KT estimates).</t>
  </si>
  <si>
    <t>Interval: persons arriving in each zone in each hour, by how long they stayed (duration bucket)</t>
  </si>
  <si>
    <t>date × start_hour × zone × duration_code × population_type × nationality × sex × age_band × pit_available_from</t>
  </si>
  <si>
    <t>Estimated number of unique persons of one population type and demographic group who arrived in one zone in one start hour and stayed for one duration bucket (e.g. 60–119 min)</t>
  </si>
  <si>
    <t>Measurement basis, record grain and record meaning rewritten to match the finalized FT_DWELL_DAILY fields (zone, duration_code, demographics, version).</t>
  </si>
  <si>
    <t>date × hour × zone × origin_geo_code × nationality × sex × age_band × pit_available_from</t>
  </si>
  <si>
    <t>Estimated number of persons of one nationality, sex and age band moving from one origin district (SGG) to one zone in one hour</t>
  </si>
  <si>
    <t>Record grain and record meaning updated to the finalized movement fields (demographics, version; 20–64 now derived from age_band_code).</t>
  </si>
  <si>
    <t>Derived standardized metrics (M01–M15)</t>
  </si>
  <si>
    <t>One FT metric value (M01–M15) for one zone on one day</t>
  </si>
  <si>
    <t>field values / reference</t>
  </si>
  <si>
    <t>Typo fixed: filed → field.</t>
  </si>
  <si>
    <t>Not unique alone; key is (record_id, pit_available_from)</t>
  </si>
  <si>
    <t>Identifier for a specific version of a zone. Stays the same across corrections and schema changes; a new one is issued only when the zone is split or transformed.</t>
  </si>
  <si>
    <t>SKH_ICH_001</t>
  </si>
  <si>
    <t>record_id redefined per Notion zone-master framework: stable across corrections, new only on merge/split/replace; key is (record_id, pit_available_from); example updated.</t>
  </si>
  <si>
    <t>Mandata-assigned business identifier for the geographic analysis zone; this is the key value of the dataset. Format &lt;campus_code&gt;_&lt;zone_type&gt;_&lt;NN&gt;</t>
  </si>
  <si>
    <t>SKH_ICH_OP_03</t>
  </si>
  <si>
    <t>Added zone_code format (2-digit suffix &lt;NN&gt;) and Notion wording; example ICH_OP_001 → SKH_ICH_OP_03; moved to 2nd field after record_id (Notion column order).</t>
  </si>
  <si>
    <t>effective_from</t>
  </si>
  <si>
    <t>Date from which this zone definition is valid in the real world</t>
  </si>
  <si>
    <t>Renamed effecitve_at → effective_from and redefined per Notion zone-master framework.</t>
  </si>
  <si>
    <t>effective_to</t>
  </si>
  <si>
    <t>Date until which this zone definition is valid. NULL while currently valid</t>
  </si>
  <si>
    <t>NULL</t>
  </si>
  <si>
    <t>New field added per Notion FT_LIST_ZONE schema.</t>
  </si>
  <si>
    <t>pit_available_from</t>
  </si>
  <si>
    <t>Date from which this specific record version became available to clients. For backfilled history (rows covering the period before the first client release), set equal to effective_from</t>
  </si>
  <si>
    <t>Renamed pit_available_at → pit_available_from and redefined per Notion zone-master framework (incl. backfill rule).</t>
  </si>
  <si>
    <t>pit_available_to</t>
  </si>
  <si>
    <t>Date until which this specific record version was available to clients. NULL for the currently available version</t>
  </si>
  <si>
    <t>Mandata-assigned identifier for the campus. Format &lt;company prefix&gt;_&lt;campus&gt; (SKH = SK hynix, SSE = Samsung)</t>
  </si>
  <si>
    <t>SKH_ICH</t>
  </si>
  <si>
    <t>Added campus_code format per Notion zone-master framework; example ICH → SKH_ICH.</t>
  </si>
  <si>
    <t>Display name of the production unit associated with the zone. UNKNOWN when the zone has a production unit whose name is not known yet; NULL for campus-division zones (not applicable)</t>
  </si>
  <si>
    <t>UNKNOWN when a zone has a production unit whose name is not known; NULL only for CD zones (not applicable). EX zones keep their unit name.</t>
  </si>
  <si>
    <t>Mandata-assigned identifier for the production unit. Format &lt;campus_code&gt;_PU_&lt;NNN&gt; (3-digit sequence per campus). Not derived from production_unit_name; assigned once and never changed or reused, and a unit spanning several zones keeps one code. Assigned even when production_unit_name is UNKNOWN. NULL for campus-division zones</t>
  </si>
  <si>
    <t>SKH_ICH_PU_001</t>
  </si>
  <si>
    <t>Format changed to &lt;campus_code&gt;_PU_&lt;NNN&gt;, no longer built from the unit name; example SKH_ICH_M16 → SKH_ICH_PU_001. EX zones now get a code too; NULL only for CD zones.</t>
  </si>
  <si>
    <t>Classification of the production unit. NULL for expansion and campus-division zones. Values: FRONT_END_FAB, PACKAGING_TEST, MIXED, UNKNOWN</t>
  </si>
  <si>
    <t>Definition aligned with Notion 'How to classify a zone' (final): adds MIXED and UNKNOWN; NULL for EX and CD zones.</t>
  </si>
  <si>
    <t>High-level zone classification: OP = Operation, EX = Expansion, CD = Campus Division. Others (everything in a CD that is neither OP nor EX) is not stored; it is calculated as CD − OP − EX</t>
  </si>
  <si>
    <t>zone_type redefined per Notion 'How to classify a zone': OP / EX / CD (+ Others calculated); VARCHAR(4) → VARCHAR(8).</t>
  </si>
  <si>
    <t>record_created_at</t>
  </si>
  <si>
    <t>DATETIME (UTC)</t>
  </si>
  <si>
    <t>Date and time this record version was created in Mandata's system. Set automatically; never edited.</t>
  </si>
  <si>
    <t>2026-10-14 00:00</t>
  </si>
  <si>
    <t>New field added per Notion FT_LIST_ZONE schema (19 columns).</t>
  </si>
  <si>
    <t>lineage_id</t>
  </si>
  <si>
    <t>Unique key</t>
  </si>
  <si>
    <t>System-generated unique identifier for a zone-lineage relationship record</t>
  </si>
  <si>
    <t>LIN_ICH_001</t>
  </si>
  <si>
    <t>New file ZONE_LINEAGE_MASTER (rows 62–68), from the Notion zone master framework.</t>
  </si>
  <si>
    <t>parent_record_id</t>
  </si>
  <si>
    <t>record_id of the zone that existed before the transition</t>
  </si>
  <si>
    <t>SKH_ICH_002</t>
  </si>
  <si>
    <t>child_record_id</t>
  </si>
  <si>
    <t>record_id of the zone created as a result of the transition</t>
  </si>
  <si>
    <t>SKH_ICH_004</t>
  </si>
  <si>
    <t>relationship_type</t>
  </si>
  <si>
    <t>See Code List - relationship_type</t>
  </si>
  <si>
    <t>How the child zone relates to the parent. Values: SPLIT = an EX zone is completed as several OP zones; each OP zone gets its own lineage row with the same parent_record_id and effective_at; if only part of the site starts operating, the part still under construction becomes a new EX child in the same SPLIT (not yet encountered). TRANSFORM = an EX zone is completed and operation starts within the same zone boundary; one OP zone replaces it with an unchanged polygon</t>
  </si>
  <si>
    <t>TRANSFORM</t>
  </si>
  <si>
    <t>relationship_type redefined: SPLIT = EX completed as several OP zones; TRANSFORM = EX completed as one OP zone within the same boundary. Values moved to the Code List; example now SKH_ICH_002 → SKH_ICH_004, TRANSFORM (EX → OP). Added: if only part of the site starts operating, the remainder becomes a new EX child in the same SPLIT (not yet encountered).</t>
  </si>
  <si>
    <t>effective_at</t>
  </si>
  <si>
    <t>Real-world date on which the zone transition took effect; equals the child zone's effective_from, and the parent's effective_to is the day before</t>
  </si>
  <si>
    <t>2027-07-01</t>
  </si>
  <si>
    <t>Date from which this lineage relationship became available to clients</t>
  </si>
  <si>
    <t>2027-07-05</t>
  </si>
  <si>
    <t>Date until which this particular lineage record version was available to clients. NULL while current</t>
  </si>
  <si>
    <t>Date and time this lineage record version was created in Mandata's system. Set automatically; never edited.</t>
  </si>
  <si>
    <t>2027-07-05 03:00</t>
  </si>
  <si>
    <t>New field record_created_at, matching the other versioned files.</t>
  </si>
  <si>
    <t>Identifier for an hourly presence record; stays the same across restatements</t>
  </si>
  <si>
    <t>PRES_20260717_08_SKH_ICH_OP_03_TOTAL</t>
  </si>
  <si>
    <t>record_id redefined (stable across restatements; key with pit_available_from); example uses 2-digit zone_code SKH_ICH_OP_03.</t>
  </si>
  <si>
    <t>Date and hour of the observation as one timestamp (activity_date + activity_hour combined); e.g. 2026-07-17 08:00 covers 08:00–08:59</t>
  </si>
  <si>
    <t>Clarified that the timestamp covers the whole hour.</t>
  </si>
  <si>
    <t>Date from which this record version became available to clients. For backfilled history, set equal to activity_date</t>
  </si>
  <si>
    <t>Renamed pit_available_at → pit_available_from (SCD Type 2 with pit_available_to); record_version row removed — versions now tracked by pit_available_from/to.</t>
  </si>
  <si>
    <t>Date until which this record version was available to clients. NULL for the current version</t>
  </si>
  <si>
    <t>New field (SCD Type 2 versioning, consistent with FT_LIST_ZONE).</t>
  </si>
  <si>
    <t>Date and time this record version was created in Mandata's system. Set automatically; never edited</t>
  </si>
  <si>
    <t>2026-07-18 03:00</t>
  </si>
  <si>
    <t>New field: tiebreak for same-day restatements and audit / backfill transparency.</t>
  </si>
  <si>
    <t>- Hour of day (0–23); e.g. 8 = 08:00–08:59
- Suggested shift grouping: Day 07–15, Swing 15–23, Night 23–07</t>
  </si>
  <si>
    <t>Reformatted; shift grouping marked as a suggestion (night-shift date handling to be confirmed with the team).</t>
  </si>
  <si>
    <t>Mandata-assigned business identifier for the geographic analysis zone.</t>
  </si>
  <si>
    <t>Definition aligned with FT_LIST_ZONE.zone_code wording.</t>
  </si>
  <si>
    <t>- Population classification derived by Mandata by comparing the zone's location against the day/night resident SGG (city/county/district) codes supplied by KT
- Values: TOTAL / WP / VP / RP / UNCLASSIFIED (definitions: Code List - population_type)</t>
  </si>
  <si>
    <t>Typo fixed (popoulation_type → population_type); reformatted; allowed codes listed inline, definitions kept in the Code List.</t>
  </si>
  <si>
    <t>- Estimated number of unique persons present in the zone during this hour
- Basis: instant (headcount, each person counted once per hour)</t>
  </si>
  <si>
    <t>Corrected per KT owner layout: deduplicated count of persons present during the hour, not a single-moment snapshot.</t>
  </si>
  <si>
    <t>Identifier for a dwell record; stays the same across restatements</t>
  </si>
  <si>
    <t>DWELL_20260717_08_M60_119_SKH_ICH_EX_01</t>
  </si>
  <si>
    <t>Example updated to the 2-digit zone_code format (SKH_ICH_OP_03 = M16, matching the zone-master example). record_id no longer unique on its own; key is (record_id, pit_available_from) under SCD Type 2 versioning.</t>
  </si>
  <si>
    <t>Date and hour the dwell started as one timestamp (activity_date + activity_start_hour combined); e.g. 2026-07-17 08:00 covers arrivals 08:00–08:59</t>
  </si>
  <si>
    <t>Description aligned with FT_PRESENCE_HOURLY (one timestamp, example added).</t>
  </si>
  <si>
    <t>pit_available_at renamed to pit_available_from with the standard definition; record_version row removed (replaced by SCD Type 2 versioning).</t>
  </si>
  <si>
    <t>New column for SCD Type 2 versioning.</t>
  </si>
  <si>
    <t>- Dwell-duration bucket for persons who arrived in this start hour
- Values: M30_59 / M60_119 / M120_179 / M180_239 / M240_299 / M300_359 / M360_PLUS (definitions: Code List - duration_code)
- Limitation: source data (KT STY_MNUT_CD) tops out at a single 360+ minute bucket, so dwell beyond 6 hours can't be distinguished</t>
  </si>
  <si>
    <t>Reformatted; allowed codes listed inline, definitions kept in the Code List. Values aligned to KT's 7 STY_MNUT_CD bands: M240_PLUS replaced by M240_299 / M300_359 / M360_PLUS; Limitation now 360+.</t>
  </si>
  <si>
    <t>SKH_ICH_EX_01</t>
  </si>
  <si>
    <t>Example updated to the 2-digit zone_code format (SKH_ICH_OP_03 = M16, matching the zone-master example).</t>
  </si>
  <si>
    <t>nationality_code</t>
  </si>
  <si>
    <t>KOREAN_NATIONAL / LONG_STAY_FOREIGN_NATIONAL / SHORT_STAY_FOREIGN_NATIONAL</t>
  </si>
  <si>
    <t>VARCHAR(32)</t>
  </si>
  <si>
    <t>Nationality group of the persons counted, from KT IN_FORN_DIV_CD</t>
  </si>
  <si>
    <t>KOREAN_NATIONAL</t>
  </si>
  <si>
    <t>New column: KT nationality breakdown. Replaces population_segment (removed) together with sex_code and age_band_code. Codes set: KOREAN_NATIONAL, LONG_STAY_FOREIGN_NATIONAL, SHORT_STAY_FOREIGN_NATIONAL; type widened to VARCHAR(32).</t>
  </si>
  <si>
    <t>sex_code</t>
  </si>
  <si>
    <t>M = male, F = female (TBD with KT)</t>
  </si>
  <si>
    <t>Sex of the persons counted</t>
  </si>
  <si>
    <t>M</t>
  </si>
  <si>
    <t>New column: KT sex breakdown (codes to be confirmed with KT). sex_code values set to M = male / F = female (to be confirmed with KT); example M.</t>
  </si>
  <si>
    <t>age_band_code</t>
  </si>
  <si>
    <t>TBD (pending CEO decision)
- Option 1, 10-year split: A00_19 / A20_29 / A30_39 / A40_49 / A50_64 / A65_PLUS. Pro: granular; shows age shifts within the workforce
- Option 2, 3 split: A00_19 / A20_64 / A65_PLUS. Pro: simpler; can be used directly for FT_MOVEMENT_OD_DAILY</t>
  </si>
  <si>
    <t>Age band of the persons counted, from KT AGE_CD (bands to be agreed with KT)</t>
  </si>
  <si>
    <t>A30_39</t>
  </si>
  <si>
    <t>New column: KT age-band breakdown (bands to be agreed with KT). age_band_code: two band options listed, pending CEO decision; example A30_39.</t>
  </si>
  <si>
    <t>- Population classification derived by Mandata from the day/night resident SGG codes supplied by KT (same as FT_PRESENCE_HOURLY)
- Values: TOTAL / WP / VP / RP / UNCLASSIFIED (definitions: Code List - population_type)</t>
  </si>
  <si>
    <t>Typo fixed: popoulation_type → population_type. Reformatted to match FT_PRESENCE_HOURLY; allowed codes listed inline.</t>
  </si>
  <si>
    <t>Identifier for a movement record; stays the same across restatements</t>
  </si>
  <si>
    <t>OD_20260717_20_SKH_ICH_OP_03_11680</t>
  </si>
  <si>
    <t>Date and hour of the movement as one timestamp (activity_date + activity_hour combined); e.g. 2026-07-17 20:00 covers 20:00–20:59</t>
  </si>
  <si>
    <t>Example updated to the 2-digit zone_code format (SKH_ICH_OP_03 = M16, matching the zone-master example). Reworded to the standard zone_code definition used in the other files. zone_code reworded to the same definition as FT_PRESENCE_HOURLY. Trailing sentence removed; same zone_code definition as FT_PRESENCE_HOURLY.</t>
  </si>
  <si>
    <t>Administrative SGG (city/county/district) code of the movement's origin
- Granularity: SGG</t>
  </si>
  <si>
    <t>Reformatted into a definition plus bullets; wording unchanged. Granularity note shortened; zone-to-zone note removed.</t>
  </si>
  <si>
    <t>Distance band from the fab zone to the origin SGG's centroid (definitions: Code List - origin_distance_band_code)
- D00_10: 0 to &lt;10 km
- D10_30: 10 to &lt;30 km
- D30_60: 30 to &lt;60 km
- D60_100: 60 to &lt;100 km
- D100_200: 100 to &lt;200 km
- D200_PLUS: 200 km or more</t>
  </si>
  <si>
    <t>Reformatted; band codes listed inline, definitions kept in the Code List. Example corrected: SGG 11680 (Gangnam-gu) is about 45–50 km from SK hynix Icheon, so D30_60.</t>
  </si>
  <si>
    <t>New column: KT nationality breakdown. Replaces population_segment (removed), together with sex_code and age_band_code; same as FT_DWELL_DAILY. Codes set: KOREAN_NATIONAL, LONG_STAY_FOREIGN_NATIONAL, SHORT_STAY_FOREIGN_NATIONAL; type widened to VARCHAR(32).</t>
  </si>
  <si>
    <t>M = male, F = female</t>
  </si>
  <si>
    <t>Sex of the persons counted, from KT SEX_CD</t>
  </si>
  <si>
    <t>New column: KT sex breakdown (M / F).</t>
  </si>
  <si>
    <t>New column: KT age-band breakdown (bands pending CEO decision).</t>
  </si>
  <si>
    <t>population</t>
  </si>
  <si>
    <t>- Estimated number of persons moving from origin_geo_code to this zone in this hour, for one nationality, sex and age band
- Age groups are derived from age_band_code (e.g. 20–64 = sum of A20_29 to A50_64)</t>
  </si>
  <si>
    <t>Measure renamed population_20_64_origin → population; now a plain count per nationality, sex and age band. 20–64 is derived from age_band_code.</t>
  </si>
  <si>
    <t>Identifier for a metric record; stays the same across restatements</t>
  </si>
  <si>
    <t>MET_20260717_SKH_ICH_OP_03_M04</t>
  </si>
  <si>
    <t>Standard FT-metric code (M01-M15)</t>
  </si>
  <si>
    <t>M04</t>
  </si>
  <si>
    <t>0.15</t>
  </si>
  <si>
    <t>SUM(population_presence, activity_hour 23–06) / M02</t>
  </si>
  <si>
    <t>One footprint holding both fab and package-and-test lines</t>
  </si>
  <si>
    <t>New code added per Notion 'How to classify a zone' (final): production_unit_type MIXED.</t>
  </si>
  <si>
    <t>Operation</t>
  </si>
  <si>
    <t>An existing building in operation where semiconductors are fabricated, or packaged and tested; one facility, inside a campus division. Feeds the operating-cycle indicators (OPS01–12)</t>
  </si>
  <si>
    <t>zone_type label/definition aligned with Notion "How to classify a zone".</t>
  </si>
  <si>
    <t>Expansion</t>
  </si>
  <si>
    <t>Land or buildings where new production capacity is being built: new fabs, expansions, cleanrooms, and areas where equipment is installed and commissioned. Feeds the expansion indicators (EXP01–03)</t>
  </si>
  <si>
    <t>CD</t>
  </si>
  <si>
    <t>Campus Division</t>
  </si>
  <si>
    <t>A contiguous area within a campus, bounded by public infrastructure such as public roads; contains its OP, EX and Others zones (its polygon overlaps them by design). Others is not stored; it is calculated as CD − OP − EX</t>
  </si>
  <si>
    <t>RD → CD (Campus Division); LG and CT rows removed. zone_type is now OP / EX / CD per Notion.</t>
  </si>
  <si>
    <t>SPLIT</t>
  </si>
  <si>
    <t>Split</t>
  </si>
  <si>
    <t>An EX zone is completed as several OP zones. Each OP zone gets its own lineage row, with the same parent_record_id and effective_at; the child polygons lie within the parent polygon. If only part of the site starts operating, the remainder becomes a new EX child zone (not yet encountered)</t>
  </si>
  <si>
    <t>New code list relationship_type (SPLIT, TRANSFORM), rows 153–154.</t>
  </si>
  <si>
    <t>Transform</t>
  </si>
  <si>
    <t>An EX zone is completed and operation starts within the same zone boundary; one OP zone replaces it with an unchanged polygon (only zone_type and zone_code change)</t>
  </si>
  <si>
    <t>M240_299</t>
  </si>
  <si>
    <t>240-299 minutes</t>
  </si>
  <si>
    <t>Dwell duration bucket: 240 to 299 minutes (matches KT STY_MNUT_CD = 5)</t>
  </si>
  <si>
    <t>duration_code aligned to KT's 7 bands: M240_PLUS → M240_299; M300_359 and M360_PLUS added in rows 165–166.</t>
  </si>
  <si>
    <t>M300_359</t>
  </si>
  <si>
    <t>300-359 minutes</t>
  </si>
  <si>
    <t>Dwell duration bucket: 300 to 359 minutes (matches KT STY_MNUT_CD = 6)</t>
  </si>
  <si>
    <t>M360_PLUS</t>
  </si>
  <si>
    <t>360+ minutes</t>
  </si>
  <si>
    <t>Dwell duration bucket: 360 minutes (6 hours) or more (matches KT STY_MNUT_CD = 7). Top bucket - durations beyond 6 hours are not further distinguished in the source data; see FT_DWELL_DAILY sheet Limitation.</t>
  </si>
  <si>
    <t>Korean national</t>
  </si>
  <si>
    <t>Nationality group: Korean national, from KT IN_FORN_DIV_CD</t>
  </si>
  <si>
    <t>New code list nationality_code (KOREAN_NATIONAL, LONG_STAY_FOREIGN_NATIONAL, SHORT_STAY_FOREIGN_NATIONAL), rows 167–169.</t>
  </si>
  <si>
    <t>LONG_STAY_FOREIGN_NATIONAL</t>
  </si>
  <si>
    <t>Long-stay foreign national</t>
  </si>
  <si>
    <t>Nationality group: long-stay foreign national, from KT IN_FORN_DIV_CD</t>
  </si>
  <si>
    <t>SHORT_STAY_FOREIGN_NATIONAL</t>
  </si>
  <si>
    <t>Short-stay foreign national</t>
  </si>
  <si>
    <t>Nationality group: short-stay foreign national, from KT IN_FORN_DIV_CD</t>
  </si>
  <si>
    <t>M01</t>
  </si>
  <si>
    <t>Daily Dwell Population</t>
  </si>
  <si>
    <t>Level: total persons dwelling in the zone during the day, summed across all arrival hours and dwell-duration bands (30 min or more). Source: FT_DWELL_DAILY; unit: persons</t>
  </si>
  <si>
    <t>ft_metrics_code list replaced: FT01–FT12 (12) → M01–M15 (15), from the Semiconductor Sheet FT metrics list; rows 191–193 added for M13–M15.</t>
  </si>
  <si>
    <t>M02</t>
  </si>
  <si>
    <t>Daily Average Person-Hours</t>
  </si>
  <si>
    <t>Level: sum of hourly presence over 24 hours (person-hours); ÷ 24 gives the daily average headcount. Source: FT_PRESENCE_HOURLY; unit: persons</t>
  </si>
  <si>
    <t>M03</t>
  </si>
  <si>
    <t>Activity Index</t>
  </si>
  <si>
    <t>Level: M01 indexed to the zone's own high-activity norm (median of the top 10% of daily M01 values over up to 52 weeks = 100). Unit: index; requires 52 weeks of history</t>
  </si>
  <si>
    <t>Temporal pattern: share of daily person-hours (M02) occurring at night (23:00–06:00). Source: FT_PRESENCE_HOURLY; unit: ratio</t>
  </si>
  <si>
    <t>M05</t>
  </si>
  <si>
    <t>Hourly Load Factor</t>
  </si>
  <si>
    <t>Temporal pattern: 24-hour average presence ÷ 24-hour peak presence; closer to 1 means activity is spread evenly across the day (e.g. 24/7 operation). Unit: ratio</t>
  </si>
  <si>
    <t>M06</t>
  </si>
  <si>
    <t>Temporal pattern: trailing 4-week average M01 on weekends and public holidays ÷ average M01 on weekdays. Unit: ratio; requires 4 weeks of history</t>
  </si>
  <si>
    <t>M07</t>
  </si>
  <si>
    <t>Resident Worker Ratio</t>
  </si>
  <si>
    <t>Population composition: share of M01 from long dwells (360+ minutes), a proxy for permanent on-site staff. Source: FT_DWELL_DAILY; unit: ratio</t>
  </si>
  <si>
    <t>M08</t>
  </si>
  <si>
    <t>Foreign Dwell Share</t>
  </si>
  <si>
    <t>Population composition: share of M01 from short-stay and from long-stay foreign nationals, reported separately. Source: FT_DWELL_DAILY; unit: ratio</t>
  </si>
  <si>
    <t>M09</t>
  </si>
  <si>
    <t>Long-Distance Inflow Share</t>
  </si>
  <si>
    <t>Population composition: share of inflow whose origin district (SGG) falls in the long-distance bands. Source: FT_MOVEMENT_OD_DAILY; unit: ratio</t>
  </si>
  <si>
    <t>M10</t>
  </si>
  <si>
    <t>Expansion Scale Ratio</t>
  </si>
  <si>
    <t>Cross-sectional: sum of M01 across a campus's EX zones ÷ sum across its OP zones; read as a trend. Unit: ratio</t>
  </si>
  <si>
    <t>M11</t>
  </si>
  <si>
    <t>Product Share</t>
  </si>
  <si>
    <t>Cross-sectional: M01 of product-associated zones ÷ total company M01 (association only, not production output). Unit: ratio</t>
  </si>
  <si>
    <t>M12</t>
  </si>
  <si>
    <t>Cross-sectional: share of valid zones in a campus whose M03 is higher than 4 weeks earlier. Unit: ratio; requires 4 weeks of history</t>
  </si>
  <si>
    <t>M13</t>
  </si>
  <si>
    <t>Daily Dwell Population Anomaly Z-Score</t>
  </si>
  <si>
    <t>Anomaly: robust z-score of M01 vs. its trailing 52-week same-weekday median, scaled by 1.4826 × MAD; holidays excluded from the baseline and flagged. Unit: z-score</t>
  </si>
  <si>
    <t>M14</t>
  </si>
  <si>
    <t>Night Activity Ratio Anomaly Z-Score</t>
  </si>
  <si>
    <t>Anomaly: robust z-score of M04, computed as for M13. Unit: z-score</t>
  </si>
  <si>
    <t>M15</t>
  </si>
  <si>
    <t>Foreign Short-Term Share Anomaly Z-Score</t>
  </si>
  <si>
    <t>Anomaly: robust z-score of M08 (short-stay foreign share), computed as for M13. Unit: z-score</t>
  </si>
  <si>
    <t>Master/reference table of analysis zones: Campus -&gt; Campus Division (CD) -&gt; Operation (OP) / Expansion (EX) zones, including zone_type and product_association tagging. Production unit fields (name, code, type) apply to OP zones only. All other four files join to this table via zone_code. This table itself contains no activity/observation data.</t>
  </si>
  <si>
    <t>zone × pit_available_from (one row per version of one zone's attributes)</t>
  </si>
  <si>
    <t>SKH_ICH_003</t>
  </si>
  <si>
    <t>SKH_ICH_CD_01</t>
  </si>
  <si>
    <t>Reference table that records how zones evolve over time. Each row links a parent zone version (EX) to a child zone version (OP) created when the parent is completed as several OP zones (SPLIT; one row per child, all with the same parent_record_id and effective_at) or starts operating as one OP zone within the same boundary (TRANSFORM). Joins to FT_LIST_ZONE via parent_record_id / child_record_id = record_id. This table contains no activity/observation data.</t>
  </si>
  <si>
    <t>Reference: zone splits and transformations (EX → OP), with full version history</t>
  </si>
  <si>
    <t>parent_record_id × child_record_id × pit_available_from (one row per version of one parent → child link)</t>
  </si>
  <si>
    <t>Currently empty: no zone transitions have been recorded yet. A transition always issues a new zone_code (the zone type is part of the code), so foot-traffic history before and after it sits under different zone_codes; join through this table to build a continuous series</t>
  </si>
  <si>
    <t>Estimated number of unique persons of one population type present in one zone during one hour - a snapshot read of 'presence'.</t>
  </si>
  <si>
    <t>PRES_20260717_08_SKH_ICH_OP_03_WP</t>
  </si>
  <si>
    <t>PRES_20260717_08_SKH_ICH_OP_03_VP</t>
  </si>
  <si>
    <t>PRES_20260717_08_SKH_ICH_OP_03_RP</t>
  </si>
  <si>
    <t>PRES_20260717_08_SKH_ICH_OP_03_UNCLASSIFIED</t>
  </si>
  <si>
    <t>F</t>
  </si>
  <si>
    <t>The core deliverable file - standardized M01-M15 metric values calculated per zone, designed to map directly onto the 21 investment indicators.</t>
  </si>
  <si>
    <t>Neither Instant nor Interval; a computed daily statistic built on top of Presence (and other)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</si>
</sst>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Roboto"/>
    </font>
    <font>
      <b/>
      <sz val="14"/>
      <color rgb="FF000000"/>
      <name val="Roboto"/>
    </font>
    <font>
      <b/>
      <sz val="30"/>
      <color rgb="FF000000"/>
      <name val="Roboto"/>
    </font>
    <font>
      <sz val="11"/>
      <name val="Calibri"/>
      <family val="2"/>
    </font>
    <font>
      <b/>
      <sz val="12"/>
      <color theme="1"/>
      <name val="Roboto"/>
    </font>
    <font>
      <sz val="12"/>
      <color theme="1"/>
      <name val="Roboto"/>
    </font>
    <font>
      <sz val="12"/>
      <color rgb="FF000000"/>
      <name val="Roboto"/>
    </font>
    <font>
      <b/>
      <sz val="12"/>
      <color rgb="FF000000"/>
      <name val="Roboto"/>
    </font>
    <font>
      <sz val="10"/>
      <color theme="1"/>
      <name val="Roboto"/>
    </font>
    <font>
      <b/>
      <sz val="8"/>
      <color rgb="FF000000"/>
      <name val="Roboto"/>
    </font>
    <font>
      <b/>
      <sz val="9"/>
      <color rgb="FF000000"/>
      <name val="Roboto"/>
    </font>
    <font>
      <b/>
      <sz val="10"/>
      <color rgb="FF000000"/>
      <name val="Roboto"/>
    </font>
    <font>
      <i/>
      <sz val="12"/>
      <color rgb="FF666666"/>
      <name val="Roboto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B400"/>
        <bgColor rgb="FFF4B4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4A86E8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4" xfId="0" applyFont="1" applyFill="1" applyBorder="1"/>
    <xf numFmtId="0" fontId="1" fillId="0" borderId="0" xfId="0" applyFont="1"/>
    <xf numFmtId="0" fontId="5" fillId="2" borderId="7" xfId="0" applyFont="1" applyFill="1" applyBorder="1" applyAlignment="1">
      <alignment vertical="top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vertical="top" wrapText="1"/>
    </xf>
    <xf numFmtId="0" fontId="7" fillId="0" borderId="0" xfId="0" applyFont="1" applyAlignment="1">
      <alignment horizontal="right" vertical="center"/>
    </xf>
    <xf numFmtId="0" fontId="5" fillId="2" borderId="7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6" fillId="0" borderId="7" xfId="0" applyFont="1" applyBorder="1" applyAlignment="1">
      <alignment vertical="top" wrapText="1"/>
    </xf>
    <xf numFmtId="0" fontId="7" fillId="0" borderId="7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/>
    <xf numFmtId="20" fontId="6" fillId="0" borderId="0" xfId="0" applyNumberFormat="1" applyFont="1"/>
    <xf numFmtId="0" fontId="8" fillId="2" borderId="4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8" fillId="2" borderId="13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vertical="top"/>
    </xf>
    <xf numFmtId="0" fontId="8" fillId="2" borderId="1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/>
    </xf>
    <xf numFmtId="0" fontId="8" fillId="2" borderId="13" xfId="0" applyFont="1" applyFill="1" applyBorder="1" applyAlignment="1">
      <alignment horizontal="left" vertical="top"/>
    </xf>
    <xf numFmtId="0" fontId="8" fillId="2" borderId="20" xfId="0" applyFont="1" applyFill="1" applyBorder="1" applyAlignment="1">
      <alignment vertical="top"/>
    </xf>
    <xf numFmtId="0" fontId="6" fillId="2" borderId="21" xfId="0" applyFont="1" applyFill="1" applyBorder="1" applyAlignment="1">
      <alignment vertical="top"/>
    </xf>
    <xf numFmtId="0" fontId="8" fillId="2" borderId="7" xfId="0" applyFont="1" applyFill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top"/>
    </xf>
    <xf numFmtId="0" fontId="7" fillId="0" borderId="3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8" fillId="2" borderId="8" xfId="0" applyFont="1" applyFill="1" applyBorder="1" applyAlignment="1">
      <alignment horizontal="left" vertical="top"/>
    </xf>
    <xf numFmtId="0" fontId="7" fillId="2" borderId="13" xfId="0" applyFont="1" applyFill="1" applyBorder="1" applyAlignment="1">
      <alignment horizontal="left" vertical="top"/>
    </xf>
    <xf numFmtId="0" fontId="7" fillId="2" borderId="2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2" borderId="12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7" fillId="0" borderId="1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6" fillId="0" borderId="12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14" fillId="0" borderId="22" xfId="0" applyFont="1" applyBorder="1" applyAlignment="1">
      <alignment vertical="top"/>
    </xf>
    <xf numFmtId="0" fontId="2" fillId="3" borderId="0" xfId="0" applyFont="1" applyFill="1" applyAlignment="1">
      <alignment vertical="top"/>
    </xf>
    <xf numFmtId="0" fontId="1" fillId="3" borderId="0" xfId="0" applyFont="1" applyFill="1" applyAlignment="1">
      <alignment horizontal="left" vertical="top" wrapText="1"/>
    </xf>
    <xf numFmtId="0" fontId="8" fillId="3" borderId="4" xfId="0" applyFont="1" applyFill="1" applyBorder="1" applyAlignment="1">
      <alignment vertical="top"/>
    </xf>
    <xf numFmtId="0" fontId="8" fillId="3" borderId="14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6" fillId="3" borderId="3" xfId="0" applyFont="1" applyFill="1" applyBorder="1" applyAlignment="1">
      <alignment vertical="top" wrapText="1"/>
    </xf>
    <xf numFmtId="0" fontId="7" fillId="3" borderId="7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top"/>
    </xf>
    <xf numFmtId="0" fontId="7" fillId="3" borderId="7" xfId="0" applyFont="1" applyFill="1" applyBorder="1" applyAlignment="1">
      <alignment horizontal="left" vertical="top"/>
    </xf>
    <xf numFmtId="0" fontId="8" fillId="3" borderId="7" xfId="0" applyFont="1" applyFill="1" applyBorder="1" applyAlignment="1">
      <alignment horizontal="center" vertical="top"/>
    </xf>
    <xf numFmtId="0" fontId="8" fillId="3" borderId="7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vertical="top"/>
    </xf>
    <xf numFmtId="0" fontId="8" fillId="3" borderId="8" xfId="0" applyFont="1" applyFill="1" applyBorder="1" applyAlignment="1">
      <alignment horizontal="left" vertical="top"/>
    </xf>
    <xf numFmtId="0" fontId="6" fillId="3" borderId="7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8" fillId="3" borderId="7" xfId="0" applyFont="1" applyFill="1" applyBorder="1" applyAlignment="1">
      <alignment horizontal="left" vertical="top" wrapText="1"/>
    </xf>
    <xf numFmtId="0" fontId="8" fillId="3" borderId="7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/>
    <xf numFmtId="0" fontId="1" fillId="3" borderId="0" xfId="0" applyFont="1" applyFill="1"/>
    <xf numFmtId="0" fontId="2" fillId="3" borderId="1" xfId="0" applyFont="1" applyFill="1" applyBorder="1" applyAlignment="1">
      <alignment vertical="center"/>
    </xf>
    <xf numFmtId="0" fontId="6" fillId="3" borderId="7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/>
    </xf>
    <xf numFmtId="0" fontId="7" fillId="3" borderId="6" xfId="0" applyFont="1" applyFill="1" applyBorder="1" applyAlignment="1">
      <alignment horizontal="left" vertical="top" wrapText="1"/>
    </xf>
    <xf numFmtId="0" fontId="7" fillId="3" borderId="22" xfId="0" applyFont="1" applyFill="1" applyBorder="1" applyAlignment="1">
      <alignment horizontal="left" vertical="top" wrapText="1"/>
    </xf>
    <xf numFmtId="0" fontId="7" fillId="3" borderId="2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4" fillId="0" borderId="5" xfId="0" applyFont="1" applyBorder="1"/>
    <xf numFmtId="0" fontId="4" fillId="0" borderId="6" xfId="0" applyFont="1" applyBorder="1"/>
    <xf numFmtId="0" fontId="7" fillId="0" borderId="3" xfId="0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4" fillId="0" borderId="10" xfId="0" applyFont="1" applyBorder="1"/>
    <xf numFmtId="0" fontId="4" fillId="0" borderId="11" xfId="0" applyFont="1" applyBorder="1"/>
    <xf numFmtId="0" fontId="7" fillId="4" borderId="3" xfId="0" applyFont="1" applyFill="1" applyBorder="1" applyAlignment="1">
      <alignment horizontal="left" vertical="top" wrapText="1"/>
    </xf>
    <xf numFmtId="0" fontId="4" fillId="5" borderId="5" xfId="0" applyFont="1" applyFill="1" applyBorder="1"/>
    <xf numFmtId="0" fontId="4" fillId="5" borderId="6" xfId="0" applyFont="1" applyFill="1" applyBorder="1"/>
    <xf numFmtId="0" fontId="7" fillId="3" borderId="9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8" fillId="2" borderId="16" xfId="0" applyFont="1" applyFill="1" applyBorder="1" applyAlignment="1">
      <alignment horizontal="left" vertical="top" wrapText="1"/>
    </xf>
    <xf numFmtId="0" fontId="4" fillId="0" borderId="17" xfId="0" applyFont="1" applyBorder="1"/>
    <xf numFmtId="0" fontId="7" fillId="3" borderId="18" xfId="0" applyFont="1" applyFill="1" applyBorder="1" applyAlignment="1">
      <alignment horizontal="left" vertical="top" wrapText="1"/>
    </xf>
    <xf numFmtId="0" fontId="4" fillId="0" borderId="18" xfId="0" applyFont="1" applyBorder="1"/>
    <xf numFmtId="0" fontId="4" fillId="0" borderId="19" xfId="0" applyFont="1" applyBorder="1"/>
    <xf numFmtId="0" fontId="8" fillId="3" borderId="10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vertical="top" wrapText="1"/>
    </xf>
    <xf numFmtId="0" fontId="7" fillId="3" borderId="9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3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top" wrapText="1"/>
    </xf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0"/>
  <sheetViews>
    <sheetView showGridLines="0" tabSelected="1" workbookViewId="0">
      <selection activeCell="B39" sqref="B39"/>
    </sheetView>
  </sheetViews>
  <sheetFormatPr baseColWidth="10" defaultColWidth="14.5" defaultRowHeight="15" x14ac:dyDescent="0.2"/>
  <cols>
    <col min="1" max="1" width="3" customWidth="1"/>
    <col min="2" max="2" width="130" bestFit="1" customWidth="1"/>
    <col min="3" max="3" width="48.1640625" bestFit="1" customWidth="1"/>
    <col min="4" max="4" width="41.6640625" bestFit="1" customWidth="1"/>
    <col min="5" max="5" width="21.6640625" bestFit="1" customWidth="1"/>
    <col min="6" max="6" width="60.1640625" customWidth="1"/>
    <col min="7" max="7" width="44.1640625" bestFit="1" customWidth="1"/>
    <col min="8" max="8" width="40.33203125" customWidth="1"/>
    <col min="9" max="9" width="70" customWidth="1"/>
    <col min="10" max="27" width="8.66406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7" x14ac:dyDescent="0.2">
      <c r="A2" s="1"/>
      <c r="B2" s="108" t="s">
        <v>3</v>
      </c>
      <c r="C2" s="84"/>
      <c r="D2" s="85"/>
      <c r="E2" s="7" t="s">
        <v>4</v>
      </c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7" x14ac:dyDescent="0.2">
      <c r="A4" s="1"/>
      <c r="B4" s="11" t="s">
        <v>10</v>
      </c>
      <c r="C4" s="1"/>
      <c r="D4" s="1"/>
      <c r="E4" s="1"/>
      <c r="F4" s="1"/>
      <c r="G4" s="1"/>
      <c r="H4" s="57" t="s">
        <v>294</v>
      </c>
      <c r="I4" s="57" t="s">
        <v>295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" x14ac:dyDescent="0.2">
      <c r="A5" s="1"/>
      <c r="B5" s="14" t="s">
        <v>13</v>
      </c>
      <c r="C5" s="86" t="s">
        <v>15</v>
      </c>
      <c r="D5" s="84"/>
      <c r="E5" s="84"/>
      <c r="F5" s="84"/>
      <c r="G5" s="8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7" x14ac:dyDescent="0.2">
      <c r="A6" s="1"/>
      <c r="B6" s="20" t="s">
        <v>17</v>
      </c>
      <c r="C6" s="109" t="s">
        <v>25</v>
      </c>
      <c r="D6" s="90"/>
      <c r="E6" s="90"/>
      <c r="F6" s="90"/>
      <c r="G6" s="9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72" customHeight="1" x14ac:dyDescent="0.2">
      <c r="A7" s="1"/>
      <c r="B7" s="14" t="s">
        <v>26</v>
      </c>
      <c r="C7" s="83" t="s">
        <v>291</v>
      </c>
      <c r="D7" s="84"/>
      <c r="E7" s="84"/>
      <c r="F7" s="84"/>
      <c r="G7" s="85"/>
      <c r="H7" s="58" t="s">
        <v>296</v>
      </c>
      <c r="I7" s="58" t="s">
        <v>297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7" x14ac:dyDescent="0.2">
      <c r="A8" s="1"/>
      <c r="B8" s="14" t="s">
        <v>46</v>
      </c>
      <c r="C8" s="86" t="s">
        <v>47</v>
      </c>
      <c r="D8" s="84"/>
      <c r="E8" s="84"/>
      <c r="F8" s="84"/>
      <c r="G8" s="8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 x14ac:dyDescent="0.2">
      <c r="A9" s="1"/>
      <c r="B9" s="14" t="s">
        <v>52</v>
      </c>
      <c r="C9" s="92" t="s">
        <v>53</v>
      </c>
      <c r="D9" s="93"/>
      <c r="E9" s="93"/>
      <c r="F9" s="93"/>
      <c r="G9" s="9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05" customHeight="1" x14ac:dyDescent="0.2">
      <c r="A10" s="1"/>
      <c r="B10" s="20" t="s">
        <v>58</v>
      </c>
      <c r="C10" s="95" t="s">
        <v>292</v>
      </c>
      <c r="D10" s="90"/>
      <c r="E10" s="90"/>
      <c r="F10" s="90"/>
      <c r="G10" s="91"/>
      <c r="H10" s="58" t="s">
        <v>298</v>
      </c>
      <c r="I10" s="58" t="s">
        <v>299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9" customHeight="1" x14ac:dyDescent="0.2">
      <c r="A11" s="1"/>
      <c r="B11" s="20" t="s">
        <v>62</v>
      </c>
      <c r="C11" s="95" t="s">
        <v>293</v>
      </c>
      <c r="D11" s="90"/>
      <c r="E11" s="90"/>
      <c r="F11" s="90"/>
      <c r="G11" s="91"/>
      <c r="H11" s="58" t="s">
        <v>300</v>
      </c>
      <c r="I11" s="58" t="s">
        <v>301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7" x14ac:dyDescent="0.2">
      <c r="A12" s="1"/>
      <c r="B12" s="14" t="s">
        <v>64</v>
      </c>
      <c r="C12" s="86" t="s">
        <v>65</v>
      </c>
      <c r="D12" s="84"/>
      <c r="E12" s="84"/>
      <c r="F12" s="84"/>
      <c r="G12" s="8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05" customHeight="1" x14ac:dyDescent="0.2">
      <c r="A13" s="1"/>
      <c r="B13" s="14" t="s">
        <v>66</v>
      </c>
      <c r="C13" s="83" t="s">
        <v>302</v>
      </c>
      <c r="D13" s="84"/>
      <c r="E13" s="84"/>
      <c r="F13" s="84"/>
      <c r="G13" s="85"/>
      <c r="H13" s="58" t="s">
        <v>300</v>
      </c>
      <c r="I13" s="58" t="s">
        <v>303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7" x14ac:dyDescent="0.2">
      <c r="A15" s="1"/>
      <c r="B15" s="11" t="s">
        <v>68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55.5" customHeight="1" x14ac:dyDescent="0.2">
      <c r="A16" s="1"/>
      <c r="B16" s="20" t="s">
        <v>70</v>
      </c>
      <c r="C16" s="59" t="s">
        <v>304</v>
      </c>
      <c r="D16" s="107" t="s">
        <v>305</v>
      </c>
      <c r="E16" s="84"/>
      <c r="F16" s="84"/>
      <c r="G16" s="85"/>
      <c r="H16" s="58" t="s">
        <v>298</v>
      </c>
      <c r="I16" s="58" t="s">
        <v>306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9" customHeight="1" x14ac:dyDescent="0.2">
      <c r="A17" s="1"/>
      <c r="B17" s="25"/>
      <c r="C17" s="24" t="s">
        <v>73</v>
      </c>
      <c r="D17" s="88" t="s">
        <v>307</v>
      </c>
      <c r="E17" s="84"/>
      <c r="F17" s="84"/>
      <c r="G17" s="85"/>
      <c r="H17" s="58" t="s">
        <v>296</v>
      </c>
      <c r="I17" s="58" t="s">
        <v>308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9" customHeight="1" x14ac:dyDescent="0.2">
      <c r="A18" s="1"/>
      <c r="B18" s="25"/>
      <c r="C18" s="59" t="s">
        <v>309</v>
      </c>
      <c r="D18" s="88" t="s">
        <v>310</v>
      </c>
      <c r="E18" s="84"/>
      <c r="F18" s="84"/>
      <c r="G18" s="85"/>
      <c r="H18" s="58" t="s">
        <v>298</v>
      </c>
      <c r="I18" s="58" t="s">
        <v>311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2" customHeight="1" x14ac:dyDescent="0.2">
      <c r="A19" s="1"/>
      <c r="B19" s="26"/>
      <c r="C19" s="60" t="s">
        <v>75</v>
      </c>
      <c r="D19" s="89" t="s">
        <v>312</v>
      </c>
      <c r="E19" s="90"/>
      <c r="F19" s="90"/>
      <c r="G19" s="91"/>
      <c r="H19" s="58" t="s">
        <v>298</v>
      </c>
      <c r="I19" s="58" t="s">
        <v>313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1.5" customHeight="1" x14ac:dyDescent="0.2">
      <c r="A20" s="1"/>
      <c r="B20" s="27"/>
      <c r="C20" s="61" t="s">
        <v>74</v>
      </c>
      <c r="D20" s="88" t="s">
        <v>314</v>
      </c>
      <c r="E20" s="84"/>
      <c r="F20" s="84"/>
      <c r="G20" s="85"/>
      <c r="H20" s="58" t="s">
        <v>298</v>
      </c>
      <c r="I20" s="58" t="s">
        <v>315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55.5" customHeight="1" x14ac:dyDescent="0.2">
      <c r="A21" s="1"/>
      <c r="B21" s="98" t="s">
        <v>76</v>
      </c>
      <c r="C21" s="99"/>
      <c r="D21" s="100" t="s">
        <v>316</v>
      </c>
      <c r="E21" s="101"/>
      <c r="F21" s="101"/>
      <c r="G21" s="102"/>
      <c r="H21" s="58" t="s">
        <v>300</v>
      </c>
      <c r="I21" s="58" t="s">
        <v>317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88.5" customHeight="1" x14ac:dyDescent="0.2">
      <c r="A22" s="1"/>
      <c r="B22" s="29" t="s">
        <v>77</v>
      </c>
      <c r="C22" s="30"/>
      <c r="D22" s="103" t="s">
        <v>318</v>
      </c>
      <c r="E22" s="90"/>
      <c r="F22" s="90"/>
      <c r="G22" s="91"/>
      <c r="H22" s="58" t="s">
        <v>298</v>
      </c>
      <c r="I22" s="58" t="s">
        <v>319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" x14ac:dyDescent="0.2">
      <c r="A23" s="1"/>
      <c r="B23" s="31" t="s">
        <v>78</v>
      </c>
      <c r="C23" s="32" t="s">
        <v>79</v>
      </c>
      <c r="D23" s="104" t="s">
        <v>80</v>
      </c>
      <c r="E23" s="90"/>
      <c r="F23" s="90"/>
      <c r="G23" s="9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5.5" customHeight="1" x14ac:dyDescent="0.2">
      <c r="A24" s="1"/>
      <c r="B24" s="25"/>
      <c r="C24" s="28" t="s">
        <v>81</v>
      </c>
      <c r="D24" s="105" t="s">
        <v>320</v>
      </c>
      <c r="E24" s="90"/>
      <c r="F24" s="90"/>
      <c r="G24" s="91"/>
      <c r="H24" s="58" t="s">
        <v>296</v>
      </c>
      <c r="I24" s="58" t="s">
        <v>321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" x14ac:dyDescent="0.2">
      <c r="A25" s="1"/>
      <c r="B25" s="33"/>
      <c r="C25" s="28" t="s">
        <v>82</v>
      </c>
      <c r="D25" s="106" t="s">
        <v>83</v>
      </c>
      <c r="E25" s="84"/>
      <c r="F25" s="84"/>
      <c r="G25" s="8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96" t="s">
        <v>84</v>
      </c>
      <c r="C26" s="85"/>
      <c r="D26" s="97" t="s">
        <v>85</v>
      </c>
      <c r="E26" s="84"/>
      <c r="F26" s="84"/>
      <c r="G26" s="8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7" x14ac:dyDescent="0.2">
      <c r="A28" s="1"/>
      <c r="B28" s="11" t="s">
        <v>86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9" customHeight="1" x14ac:dyDescent="0.2">
      <c r="A29" s="1"/>
      <c r="B29" s="34" t="s">
        <v>87</v>
      </c>
      <c r="C29" s="34" t="s">
        <v>88</v>
      </c>
      <c r="D29" s="34" t="s">
        <v>89</v>
      </c>
      <c r="E29" s="34" t="s">
        <v>90</v>
      </c>
      <c r="F29" s="67" t="s">
        <v>322</v>
      </c>
      <c r="G29" s="1"/>
      <c r="H29" s="58" t="s">
        <v>296</v>
      </c>
      <c r="I29" s="58" t="s">
        <v>323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"/>
      <c r="AA29" s="5"/>
    </row>
    <row r="30" spans="1:27" ht="55.5" customHeight="1" x14ac:dyDescent="0.2">
      <c r="A30" s="1"/>
      <c r="B30" s="35" t="s">
        <v>0</v>
      </c>
      <c r="C30" s="63" t="s">
        <v>324</v>
      </c>
      <c r="D30" s="63" t="s">
        <v>325</v>
      </c>
      <c r="E30" s="13" t="s">
        <v>91</v>
      </c>
      <c r="F30" s="63" t="s">
        <v>326</v>
      </c>
      <c r="G30" s="1"/>
      <c r="H30" s="58" t="s">
        <v>296</v>
      </c>
      <c r="I30" s="58" t="s">
        <v>327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5"/>
      <c r="AA30" s="5"/>
    </row>
    <row r="31" spans="1:27" ht="39" customHeight="1" x14ac:dyDescent="0.2">
      <c r="A31" s="1"/>
      <c r="B31" s="72" t="s">
        <v>328</v>
      </c>
      <c r="C31" s="63" t="s">
        <v>329</v>
      </c>
      <c r="D31" s="63" t="s">
        <v>330</v>
      </c>
      <c r="E31" s="63" t="s">
        <v>91</v>
      </c>
      <c r="F31" s="63" t="s">
        <v>331</v>
      </c>
      <c r="G31" s="1"/>
      <c r="H31" s="58" t="s">
        <v>298</v>
      </c>
      <c r="I31" s="58" t="s">
        <v>332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5"/>
      <c r="AA31" s="5"/>
    </row>
    <row r="32" spans="1:27" ht="72" customHeight="1" x14ac:dyDescent="0.2">
      <c r="A32" s="1"/>
      <c r="B32" s="35" t="s">
        <v>2</v>
      </c>
      <c r="C32" s="63" t="s">
        <v>333</v>
      </c>
      <c r="D32" s="63" t="s">
        <v>334</v>
      </c>
      <c r="E32" s="13" t="s">
        <v>92</v>
      </c>
      <c r="F32" s="63" t="s">
        <v>335</v>
      </c>
      <c r="G32" s="1"/>
      <c r="H32" s="58" t="s">
        <v>296</v>
      </c>
      <c r="I32" s="58" t="s">
        <v>336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5"/>
      <c r="AA32" s="5"/>
    </row>
    <row r="33" spans="1:27" ht="55.5" customHeight="1" x14ac:dyDescent="0.2">
      <c r="A33" s="1"/>
      <c r="B33" s="35" t="s">
        <v>1</v>
      </c>
      <c r="C33" s="63" t="s">
        <v>337</v>
      </c>
      <c r="D33" s="63" t="s">
        <v>338</v>
      </c>
      <c r="E33" s="13" t="s">
        <v>93</v>
      </c>
      <c r="F33" s="63" t="s">
        <v>339</v>
      </c>
      <c r="G33" s="1"/>
      <c r="H33" s="68" t="s">
        <v>296</v>
      </c>
      <c r="I33" s="58" t="s">
        <v>340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5"/>
      <c r="AA33" s="5"/>
    </row>
    <row r="34" spans="1:27" ht="55.5" customHeight="1" x14ac:dyDescent="0.2">
      <c r="A34" s="1"/>
      <c r="B34" s="35" t="s">
        <v>94</v>
      </c>
      <c r="C34" s="13" t="s">
        <v>95</v>
      </c>
      <c r="D34" s="63" t="s">
        <v>341</v>
      </c>
      <c r="E34" s="13" t="s">
        <v>93</v>
      </c>
      <c r="F34" s="63" t="s">
        <v>342</v>
      </c>
      <c r="G34" s="1"/>
      <c r="H34" s="68" t="s">
        <v>296</v>
      </c>
      <c r="I34" s="58" t="s">
        <v>343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5"/>
      <c r="AA34" s="5"/>
    </row>
    <row r="35" spans="1:27" ht="22.5" customHeight="1" x14ac:dyDescent="0.2">
      <c r="A35" s="1"/>
      <c r="B35" s="35" t="s">
        <v>96</v>
      </c>
      <c r="C35" s="63" t="s">
        <v>344</v>
      </c>
      <c r="D35" s="13" t="s">
        <v>97</v>
      </c>
      <c r="E35" s="13" t="s">
        <v>93</v>
      </c>
      <c r="F35" s="63" t="s">
        <v>345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5"/>
      <c r="AA35" s="5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7" x14ac:dyDescent="0.2">
      <c r="A37" s="1"/>
      <c r="B37" s="11" t="s">
        <v>98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" x14ac:dyDescent="0.2">
      <c r="A38" s="1"/>
      <c r="B38" s="36" t="s">
        <v>99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" x14ac:dyDescent="0.2">
      <c r="A39" s="1"/>
      <c r="B39" s="37" t="s">
        <v>100</v>
      </c>
      <c r="C39" s="38" t="s">
        <v>101</v>
      </c>
      <c r="D39" s="39"/>
      <c r="E39" s="39"/>
      <c r="F39" s="39"/>
      <c r="G39" s="4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" x14ac:dyDescent="0.2">
      <c r="A40" s="1"/>
      <c r="B40" s="37" t="s">
        <v>102</v>
      </c>
      <c r="C40" s="38" t="s">
        <v>103</v>
      </c>
      <c r="D40" s="39"/>
      <c r="E40" s="39"/>
      <c r="F40" s="39"/>
      <c r="G40" s="4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" x14ac:dyDescent="0.2">
      <c r="A41" s="1"/>
      <c r="B41" s="37" t="s">
        <v>104</v>
      </c>
      <c r="C41" s="38" t="s">
        <v>105</v>
      </c>
      <c r="D41" s="39"/>
      <c r="E41" s="39"/>
      <c r="F41" s="39"/>
      <c r="G41" s="4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" x14ac:dyDescent="0.2">
      <c r="A43" s="1"/>
      <c r="B43" s="36" t="s">
        <v>106</v>
      </c>
      <c r="C43" s="36" t="s">
        <v>107</v>
      </c>
      <c r="D43" s="66" t="s">
        <v>346</v>
      </c>
      <c r="E43" s="36" t="s">
        <v>108</v>
      </c>
      <c r="F43" s="36" t="s">
        <v>109</v>
      </c>
      <c r="G43" s="36" t="s">
        <v>110</v>
      </c>
      <c r="H43" s="58" t="s">
        <v>300</v>
      </c>
      <c r="I43" s="58" t="s">
        <v>347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55.5" customHeight="1" x14ac:dyDescent="0.2">
      <c r="A44" s="1"/>
      <c r="B44" s="41" t="s">
        <v>0</v>
      </c>
      <c r="C44" s="13" t="s">
        <v>16</v>
      </c>
      <c r="D44" s="63" t="s">
        <v>348</v>
      </c>
      <c r="E44" s="13" t="s">
        <v>111</v>
      </c>
      <c r="F44" s="63" t="s">
        <v>349</v>
      </c>
      <c r="G44" s="63" t="s">
        <v>350</v>
      </c>
      <c r="H44" s="58" t="s">
        <v>298</v>
      </c>
      <c r="I44" s="58" t="s">
        <v>351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55.5" customHeight="1" x14ac:dyDescent="0.2">
      <c r="A45" s="1"/>
      <c r="B45" s="42"/>
      <c r="C45" s="13" t="s">
        <v>23</v>
      </c>
      <c r="D45" s="13" t="s">
        <v>112</v>
      </c>
      <c r="E45" s="13" t="s">
        <v>122</v>
      </c>
      <c r="F45" s="63" t="s">
        <v>352</v>
      </c>
      <c r="G45" s="63" t="s">
        <v>353</v>
      </c>
      <c r="H45" s="58" t="s">
        <v>296</v>
      </c>
      <c r="I45" s="58" t="s">
        <v>354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9" customHeight="1" x14ac:dyDescent="0.2">
      <c r="A46" s="1"/>
      <c r="B46" s="42"/>
      <c r="C46" s="63" t="s">
        <v>355</v>
      </c>
      <c r="D46" s="13" t="s">
        <v>112</v>
      </c>
      <c r="E46" s="13" t="s">
        <v>113</v>
      </c>
      <c r="F46" s="63" t="s">
        <v>356</v>
      </c>
      <c r="G46" s="13" t="s">
        <v>114</v>
      </c>
      <c r="H46" s="58" t="s">
        <v>298</v>
      </c>
      <c r="I46" s="58" t="s">
        <v>357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9" customHeight="1" x14ac:dyDescent="0.2">
      <c r="A47" s="1"/>
      <c r="B47" s="42"/>
      <c r="C47" s="63" t="s">
        <v>358</v>
      </c>
      <c r="D47" s="63" t="s">
        <v>112</v>
      </c>
      <c r="E47" s="63" t="s">
        <v>113</v>
      </c>
      <c r="F47" s="63" t="s">
        <v>359</v>
      </c>
      <c r="G47" s="63" t="s">
        <v>360</v>
      </c>
      <c r="H47" s="58" t="s">
        <v>298</v>
      </c>
      <c r="I47" s="58" t="s">
        <v>361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55.5" customHeight="1" x14ac:dyDescent="0.2">
      <c r="A48" s="1"/>
      <c r="B48" s="42"/>
      <c r="C48" s="63" t="s">
        <v>362</v>
      </c>
      <c r="D48" s="13" t="s">
        <v>112</v>
      </c>
      <c r="E48" s="13" t="s">
        <v>113</v>
      </c>
      <c r="F48" s="63" t="s">
        <v>363</v>
      </c>
      <c r="G48" s="13" t="s">
        <v>115</v>
      </c>
      <c r="H48" s="58" t="s">
        <v>298</v>
      </c>
      <c r="I48" s="58" t="s">
        <v>364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39" customHeight="1" x14ac:dyDescent="0.2">
      <c r="A49" s="1"/>
      <c r="B49" s="42"/>
      <c r="C49" s="63" t="s">
        <v>365</v>
      </c>
      <c r="D49" s="63" t="s">
        <v>112</v>
      </c>
      <c r="E49" s="63" t="s">
        <v>113</v>
      </c>
      <c r="F49" s="63" t="s">
        <v>366</v>
      </c>
      <c r="G49" s="63" t="s">
        <v>360</v>
      </c>
      <c r="H49" s="58" t="s">
        <v>298</v>
      </c>
      <c r="I49" s="58" t="s">
        <v>361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7" x14ac:dyDescent="0.2">
      <c r="A50" s="1"/>
      <c r="B50" s="42"/>
      <c r="C50" s="13" t="s">
        <v>27</v>
      </c>
      <c r="D50" s="13" t="s">
        <v>112</v>
      </c>
      <c r="E50" s="13" t="s">
        <v>111</v>
      </c>
      <c r="F50" s="13" t="s">
        <v>116</v>
      </c>
      <c r="G50" s="13" t="s">
        <v>117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51" x14ac:dyDescent="0.2">
      <c r="A51" s="1"/>
      <c r="B51" s="42"/>
      <c r="C51" s="13" t="s">
        <v>28</v>
      </c>
      <c r="D51" s="13" t="s">
        <v>118</v>
      </c>
      <c r="E51" s="13" t="s">
        <v>119</v>
      </c>
      <c r="F51" s="13" t="s">
        <v>120</v>
      </c>
      <c r="G51" s="13" t="s">
        <v>121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7" x14ac:dyDescent="0.2">
      <c r="A52" s="1"/>
      <c r="B52" s="42"/>
      <c r="C52" s="13" t="s">
        <v>31</v>
      </c>
      <c r="D52" s="13" t="s">
        <v>112</v>
      </c>
      <c r="E52" s="13" t="s">
        <v>122</v>
      </c>
      <c r="F52" s="13" t="s">
        <v>123</v>
      </c>
      <c r="G52" s="13" t="s">
        <v>124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9" customHeight="1" x14ac:dyDescent="0.2">
      <c r="A53" s="1"/>
      <c r="B53" s="42"/>
      <c r="C53" s="13" t="s">
        <v>32</v>
      </c>
      <c r="D53" s="13" t="s">
        <v>112</v>
      </c>
      <c r="E53" s="13" t="s">
        <v>125</v>
      </c>
      <c r="F53" s="63" t="s">
        <v>367</v>
      </c>
      <c r="G53" s="63" t="s">
        <v>368</v>
      </c>
      <c r="H53" s="58" t="s">
        <v>296</v>
      </c>
      <c r="I53" s="58" t="s">
        <v>369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7" x14ac:dyDescent="0.2">
      <c r="A54" s="1"/>
      <c r="B54" s="42"/>
      <c r="C54" s="13" t="s">
        <v>33</v>
      </c>
      <c r="D54" s="13" t="s">
        <v>112</v>
      </c>
      <c r="E54" s="13" t="s">
        <v>126</v>
      </c>
      <c r="F54" s="13" t="s">
        <v>127</v>
      </c>
      <c r="G54" s="13" t="s">
        <v>128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55.5" customHeight="1" x14ac:dyDescent="0.2">
      <c r="A55" s="1"/>
      <c r="B55" s="42"/>
      <c r="C55" s="13" t="s">
        <v>34</v>
      </c>
      <c r="D55" s="13" t="s">
        <v>112</v>
      </c>
      <c r="E55" s="13" t="s">
        <v>111</v>
      </c>
      <c r="F55" s="63" t="s">
        <v>370</v>
      </c>
      <c r="G55" s="63" t="s">
        <v>49</v>
      </c>
      <c r="H55" s="58" t="s">
        <v>296</v>
      </c>
      <c r="I55" s="58" t="s">
        <v>371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05" customHeight="1" x14ac:dyDescent="0.2">
      <c r="A56" s="1"/>
      <c r="B56" s="42"/>
      <c r="C56" s="13" t="s">
        <v>36</v>
      </c>
      <c r="D56" s="13" t="s">
        <v>112</v>
      </c>
      <c r="E56" s="13" t="s">
        <v>122</v>
      </c>
      <c r="F56" s="63" t="s">
        <v>372</v>
      </c>
      <c r="G56" s="63" t="s">
        <v>373</v>
      </c>
      <c r="H56" s="58" t="s">
        <v>298</v>
      </c>
      <c r="I56" s="58" t="s">
        <v>374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55.5" customHeight="1" x14ac:dyDescent="0.2">
      <c r="A57" s="1"/>
      <c r="B57" s="42"/>
      <c r="C57" s="13" t="s">
        <v>37</v>
      </c>
      <c r="D57" s="13" t="s">
        <v>129</v>
      </c>
      <c r="E57" s="13" t="s">
        <v>125</v>
      </c>
      <c r="F57" s="63" t="s">
        <v>375</v>
      </c>
      <c r="G57" s="13" t="s">
        <v>50</v>
      </c>
      <c r="H57" s="58" t="s">
        <v>296</v>
      </c>
      <c r="I57" s="58" t="s">
        <v>376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51" x14ac:dyDescent="0.2">
      <c r="A58" s="1"/>
      <c r="B58" s="42"/>
      <c r="C58" s="13" t="s">
        <v>38</v>
      </c>
      <c r="D58" s="13" t="s">
        <v>130</v>
      </c>
      <c r="E58" s="63" t="s">
        <v>132</v>
      </c>
      <c r="F58" s="63" t="s">
        <v>377</v>
      </c>
      <c r="G58" s="13" t="s">
        <v>51</v>
      </c>
      <c r="H58" s="58" t="s">
        <v>298</v>
      </c>
      <c r="I58" s="58" t="s">
        <v>378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7" x14ac:dyDescent="0.2">
      <c r="A59" s="1"/>
      <c r="B59" s="42"/>
      <c r="C59" s="13" t="s">
        <v>40</v>
      </c>
      <c r="D59" s="13" t="s">
        <v>131</v>
      </c>
      <c r="E59" s="13" t="s">
        <v>132</v>
      </c>
      <c r="F59" s="13" t="s">
        <v>133</v>
      </c>
      <c r="G59" s="13" t="s">
        <v>134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51" x14ac:dyDescent="0.2">
      <c r="A60" s="1"/>
      <c r="B60" s="42"/>
      <c r="C60" s="13" t="s">
        <v>42</v>
      </c>
      <c r="D60" s="13" t="s">
        <v>135</v>
      </c>
      <c r="E60" s="13" t="s">
        <v>125</v>
      </c>
      <c r="F60" s="13" t="s">
        <v>136</v>
      </c>
      <c r="G60" s="13" t="s">
        <v>57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34" x14ac:dyDescent="0.2">
      <c r="A61" s="1"/>
      <c r="B61" s="42"/>
      <c r="C61" s="13" t="s">
        <v>43</v>
      </c>
      <c r="D61" s="13" t="s">
        <v>137</v>
      </c>
      <c r="E61" s="13" t="s">
        <v>125</v>
      </c>
      <c r="F61" s="13" t="s">
        <v>138</v>
      </c>
      <c r="G61" s="13" t="s">
        <v>139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39" customHeight="1" x14ac:dyDescent="0.2">
      <c r="A62" s="1"/>
      <c r="B62" s="42"/>
      <c r="C62" s="63" t="s">
        <v>379</v>
      </c>
      <c r="D62" s="63" t="s">
        <v>112</v>
      </c>
      <c r="E62" s="63" t="s">
        <v>380</v>
      </c>
      <c r="F62" s="63" t="s">
        <v>381</v>
      </c>
      <c r="G62" s="63" t="s">
        <v>382</v>
      </c>
      <c r="H62" s="58" t="s">
        <v>296</v>
      </c>
      <c r="I62" s="58" t="s">
        <v>383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39" customHeight="1" x14ac:dyDescent="0.2">
      <c r="A63" s="1"/>
      <c r="B63" s="69" t="s">
        <v>328</v>
      </c>
      <c r="C63" s="63" t="s">
        <v>384</v>
      </c>
      <c r="D63" s="63" t="s">
        <v>385</v>
      </c>
      <c r="E63" s="63" t="s">
        <v>111</v>
      </c>
      <c r="F63" s="63" t="s">
        <v>386</v>
      </c>
      <c r="G63" s="63" t="s">
        <v>387</v>
      </c>
      <c r="H63" s="58" t="s">
        <v>298</v>
      </c>
      <c r="I63" s="58" t="s">
        <v>388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2.5" customHeight="1" x14ac:dyDescent="0.2">
      <c r="A64" s="1"/>
      <c r="B64" s="42"/>
      <c r="C64" s="63" t="s">
        <v>389</v>
      </c>
      <c r="D64" s="63" t="s">
        <v>112</v>
      </c>
      <c r="E64" s="63" t="s">
        <v>111</v>
      </c>
      <c r="F64" s="63" t="s">
        <v>390</v>
      </c>
      <c r="G64" s="63" t="s">
        <v>391</v>
      </c>
      <c r="H64" s="58"/>
      <c r="I64" s="5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2.5" customHeight="1" x14ac:dyDescent="0.2">
      <c r="A65" s="1"/>
      <c r="B65" s="42"/>
      <c r="C65" s="63" t="s">
        <v>392</v>
      </c>
      <c r="D65" s="63" t="s">
        <v>112</v>
      </c>
      <c r="E65" s="63" t="s">
        <v>111</v>
      </c>
      <c r="F65" s="63" t="s">
        <v>393</v>
      </c>
      <c r="G65" s="63" t="s">
        <v>394</v>
      </c>
      <c r="H65" s="58"/>
      <c r="I65" s="5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8" customHeight="1" x14ac:dyDescent="0.2">
      <c r="A66" s="1"/>
      <c r="B66" s="42"/>
      <c r="C66" s="63" t="s">
        <v>395</v>
      </c>
      <c r="D66" s="63" t="s">
        <v>396</v>
      </c>
      <c r="E66" s="63" t="s">
        <v>125</v>
      </c>
      <c r="F66" s="63" t="s">
        <v>397</v>
      </c>
      <c r="G66" s="63" t="s">
        <v>398</v>
      </c>
      <c r="H66" s="58" t="s">
        <v>298</v>
      </c>
      <c r="I66" s="58" t="s">
        <v>399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55.5" customHeight="1" x14ac:dyDescent="0.2">
      <c r="A67" s="1"/>
      <c r="B67" s="42"/>
      <c r="C67" s="63" t="s">
        <v>400</v>
      </c>
      <c r="D67" s="63" t="s">
        <v>112</v>
      </c>
      <c r="E67" s="63" t="s">
        <v>113</v>
      </c>
      <c r="F67" s="63" t="s">
        <v>401</v>
      </c>
      <c r="G67" s="63" t="s">
        <v>402</v>
      </c>
      <c r="H67" s="58"/>
      <c r="I67" s="5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39" customHeight="1" x14ac:dyDescent="0.2">
      <c r="A68" s="1"/>
      <c r="B68" s="42"/>
      <c r="C68" s="63" t="s">
        <v>362</v>
      </c>
      <c r="D68" s="63" t="s">
        <v>112</v>
      </c>
      <c r="E68" s="63" t="s">
        <v>113</v>
      </c>
      <c r="F68" s="63" t="s">
        <v>403</v>
      </c>
      <c r="G68" s="63" t="s">
        <v>404</v>
      </c>
      <c r="H68" s="58"/>
      <c r="I68" s="5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39" customHeight="1" x14ac:dyDescent="0.2">
      <c r="A69" s="1"/>
      <c r="B69" s="42"/>
      <c r="C69" s="63" t="s">
        <v>365</v>
      </c>
      <c r="D69" s="63" t="s">
        <v>112</v>
      </c>
      <c r="E69" s="63" t="s">
        <v>113</v>
      </c>
      <c r="F69" s="63" t="s">
        <v>405</v>
      </c>
      <c r="G69" s="63" t="s">
        <v>360</v>
      </c>
      <c r="H69" s="58"/>
      <c r="I69" s="5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39" customHeight="1" x14ac:dyDescent="0.2">
      <c r="A70" s="1"/>
      <c r="B70" s="42"/>
      <c r="C70" s="63" t="s">
        <v>379</v>
      </c>
      <c r="D70" s="63" t="s">
        <v>112</v>
      </c>
      <c r="E70" s="63" t="s">
        <v>380</v>
      </c>
      <c r="F70" s="63" t="s">
        <v>406</v>
      </c>
      <c r="G70" s="63" t="s">
        <v>407</v>
      </c>
      <c r="H70" s="58" t="s">
        <v>296</v>
      </c>
      <c r="I70" s="58" t="s">
        <v>408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39" customHeight="1" x14ac:dyDescent="0.2">
      <c r="A71" s="1"/>
      <c r="B71" s="41" t="s">
        <v>2</v>
      </c>
      <c r="C71" s="13" t="s">
        <v>16</v>
      </c>
      <c r="D71" s="63" t="s">
        <v>348</v>
      </c>
      <c r="E71" s="13" t="s">
        <v>111</v>
      </c>
      <c r="F71" s="63" t="s">
        <v>409</v>
      </c>
      <c r="G71" s="63" t="s">
        <v>410</v>
      </c>
      <c r="H71" s="58" t="s">
        <v>300</v>
      </c>
      <c r="I71" s="58" t="s">
        <v>411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55.5" customHeight="1" x14ac:dyDescent="0.2">
      <c r="A72" s="1"/>
      <c r="B72" s="42"/>
      <c r="C72" s="13" t="s">
        <v>18</v>
      </c>
      <c r="D72" s="13" t="s">
        <v>112</v>
      </c>
      <c r="E72" s="13" t="s">
        <v>140</v>
      </c>
      <c r="F72" s="63" t="s">
        <v>412</v>
      </c>
      <c r="G72" s="13" t="s">
        <v>141</v>
      </c>
      <c r="H72" s="58" t="s">
        <v>300</v>
      </c>
      <c r="I72" s="58" t="s">
        <v>413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55.5" customHeight="1" x14ac:dyDescent="0.2">
      <c r="A73" s="1"/>
      <c r="B73" s="42"/>
      <c r="C73" s="63" t="s">
        <v>362</v>
      </c>
      <c r="D73" s="13" t="s">
        <v>112</v>
      </c>
      <c r="E73" s="13" t="s">
        <v>113</v>
      </c>
      <c r="F73" s="63" t="s">
        <v>414</v>
      </c>
      <c r="G73" s="13" t="s">
        <v>142</v>
      </c>
      <c r="H73" s="58" t="s">
        <v>298</v>
      </c>
      <c r="I73" s="58" t="s">
        <v>415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9" customHeight="1" x14ac:dyDescent="0.2">
      <c r="A74" s="1"/>
      <c r="B74" s="42"/>
      <c r="C74" s="63" t="s">
        <v>365</v>
      </c>
      <c r="D74" s="63" t="s">
        <v>112</v>
      </c>
      <c r="E74" s="63" t="s">
        <v>113</v>
      </c>
      <c r="F74" s="63" t="s">
        <v>416</v>
      </c>
      <c r="G74" s="63" t="s">
        <v>360</v>
      </c>
      <c r="H74" s="58" t="s">
        <v>298</v>
      </c>
      <c r="I74" s="58" t="s">
        <v>417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39" customHeight="1" x14ac:dyDescent="0.2">
      <c r="A75" s="1"/>
      <c r="B75" s="42"/>
      <c r="C75" s="63" t="s">
        <v>379</v>
      </c>
      <c r="D75" s="63" t="s">
        <v>112</v>
      </c>
      <c r="E75" s="63" t="s">
        <v>380</v>
      </c>
      <c r="F75" s="63" t="s">
        <v>418</v>
      </c>
      <c r="G75" s="63" t="s">
        <v>419</v>
      </c>
      <c r="H75" s="58" t="s">
        <v>296</v>
      </c>
      <c r="I75" s="58" t="s">
        <v>420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7" x14ac:dyDescent="0.2">
      <c r="A76" s="1"/>
      <c r="B76" s="42"/>
      <c r="C76" s="13" t="s">
        <v>19</v>
      </c>
      <c r="D76" s="13" t="s">
        <v>112</v>
      </c>
      <c r="E76" s="13" t="s">
        <v>113</v>
      </c>
      <c r="F76" s="13" t="s">
        <v>143</v>
      </c>
      <c r="G76" s="13" t="s">
        <v>144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39" customHeight="1" x14ac:dyDescent="0.2">
      <c r="A77" s="1"/>
      <c r="B77" s="42"/>
      <c r="C77" s="13" t="s">
        <v>20</v>
      </c>
      <c r="D77" s="13" t="s">
        <v>145</v>
      </c>
      <c r="E77" s="13" t="s">
        <v>146</v>
      </c>
      <c r="F77" s="63" t="s">
        <v>421</v>
      </c>
      <c r="G77" s="13" t="s">
        <v>147</v>
      </c>
      <c r="H77" s="58" t="s">
        <v>300</v>
      </c>
      <c r="I77" s="58" t="s">
        <v>422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7" x14ac:dyDescent="0.2">
      <c r="A78" s="1"/>
      <c r="B78" s="42"/>
      <c r="C78" s="13" t="s">
        <v>21</v>
      </c>
      <c r="D78" s="13" t="s">
        <v>148</v>
      </c>
      <c r="E78" s="13" t="s">
        <v>149</v>
      </c>
      <c r="F78" s="13" t="s">
        <v>150</v>
      </c>
      <c r="G78" s="13" t="s">
        <v>151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7" x14ac:dyDescent="0.2">
      <c r="A79" s="1"/>
      <c r="B79" s="42"/>
      <c r="C79" s="13" t="s">
        <v>22</v>
      </c>
      <c r="D79" s="13" t="s">
        <v>152</v>
      </c>
      <c r="E79" s="13" t="s">
        <v>153</v>
      </c>
      <c r="F79" s="13" t="s">
        <v>154</v>
      </c>
      <c r="G79" s="13" t="s">
        <v>155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39" customHeight="1" x14ac:dyDescent="0.2">
      <c r="A80" s="1"/>
      <c r="B80" s="42"/>
      <c r="C80" s="13" t="s">
        <v>23</v>
      </c>
      <c r="D80" s="13" t="s">
        <v>112</v>
      </c>
      <c r="E80" s="13" t="s">
        <v>122</v>
      </c>
      <c r="F80" s="63" t="s">
        <v>423</v>
      </c>
      <c r="G80" s="63" t="s">
        <v>353</v>
      </c>
      <c r="H80" s="58" t="s">
        <v>300</v>
      </c>
      <c r="I80" s="58" t="s">
        <v>424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88.5" customHeight="1" x14ac:dyDescent="0.2">
      <c r="A81" s="1"/>
      <c r="B81" s="42"/>
      <c r="C81" s="63" t="s">
        <v>229</v>
      </c>
      <c r="D81" s="13" t="s">
        <v>157</v>
      </c>
      <c r="E81" s="13" t="s">
        <v>119</v>
      </c>
      <c r="F81" s="63" t="s">
        <v>425</v>
      </c>
      <c r="G81" s="13" t="s">
        <v>39</v>
      </c>
      <c r="H81" s="58" t="s">
        <v>300</v>
      </c>
      <c r="I81" s="58" t="s">
        <v>426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55.5" customHeight="1" x14ac:dyDescent="0.2">
      <c r="A82" s="1"/>
      <c r="B82" s="42"/>
      <c r="C82" s="13" t="s">
        <v>24</v>
      </c>
      <c r="D82" s="13" t="s">
        <v>112</v>
      </c>
      <c r="E82" s="13" t="s">
        <v>158</v>
      </c>
      <c r="F82" s="63" t="s">
        <v>427</v>
      </c>
      <c r="G82" s="13" t="s">
        <v>159</v>
      </c>
      <c r="H82" s="58" t="s">
        <v>296</v>
      </c>
      <c r="I82" s="58" t="s">
        <v>428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55.5" customHeight="1" x14ac:dyDescent="0.2">
      <c r="A83" s="1"/>
      <c r="B83" s="41" t="s">
        <v>1</v>
      </c>
      <c r="C83" s="13" t="s">
        <v>16</v>
      </c>
      <c r="D83" s="63" t="s">
        <v>348</v>
      </c>
      <c r="E83" s="13" t="s">
        <v>111</v>
      </c>
      <c r="F83" s="63" t="s">
        <v>429</v>
      </c>
      <c r="G83" s="63" t="s">
        <v>430</v>
      </c>
      <c r="H83" s="58" t="s">
        <v>298</v>
      </c>
      <c r="I83" s="58" t="s">
        <v>431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55.5" customHeight="1" x14ac:dyDescent="0.2">
      <c r="A84" s="1"/>
      <c r="B84" s="42"/>
      <c r="C84" s="13" t="s">
        <v>18</v>
      </c>
      <c r="D84" s="13" t="s">
        <v>112</v>
      </c>
      <c r="E84" s="13" t="s">
        <v>140</v>
      </c>
      <c r="F84" s="63" t="s">
        <v>432</v>
      </c>
      <c r="G84" s="13" t="s">
        <v>141</v>
      </c>
      <c r="H84" s="68" t="s">
        <v>300</v>
      </c>
      <c r="I84" s="58" t="s">
        <v>433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39" customHeight="1" x14ac:dyDescent="0.2">
      <c r="A85" s="1"/>
      <c r="B85" s="42"/>
      <c r="C85" s="63" t="s">
        <v>362</v>
      </c>
      <c r="D85" s="13" t="s">
        <v>112</v>
      </c>
      <c r="E85" s="13" t="s">
        <v>113</v>
      </c>
      <c r="F85" s="63" t="s">
        <v>414</v>
      </c>
      <c r="G85" s="13" t="s">
        <v>142</v>
      </c>
      <c r="H85" s="68" t="s">
        <v>298</v>
      </c>
      <c r="I85" s="58" t="s">
        <v>434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39" customHeight="1" x14ac:dyDescent="0.2">
      <c r="A86" s="1"/>
      <c r="B86" s="42"/>
      <c r="C86" s="63" t="s">
        <v>365</v>
      </c>
      <c r="D86" s="63" t="s">
        <v>112</v>
      </c>
      <c r="E86" s="63" t="s">
        <v>113</v>
      </c>
      <c r="F86" s="63" t="s">
        <v>416</v>
      </c>
      <c r="G86" s="63" t="s">
        <v>360</v>
      </c>
      <c r="H86" s="68" t="s">
        <v>298</v>
      </c>
      <c r="I86" s="58" t="s">
        <v>435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39" customHeight="1" x14ac:dyDescent="0.2">
      <c r="A87" s="1"/>
      <c r="B87" s="42"/>
      <c r="C87" s="63" t="s">
        <v>379</v>
      </c>
      <c r="D87" s="63" t="s">
        <v>112</v>
      </c>
      <c r="E87" s="63" t="s">
        <v>380</v>
      </c>
      <c r="F87" s="63" t="s">
        <v>418</v>
      </c>
      <c r="G87" s="63" t="s">
        <v>419</v>
      </c>
      <c r="H87" s="68" t="s">
        <v>298</v>
      </c>
      <c r="I87" s="58" t="s">
        <v>435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7" x14ac:dyDescent="0.2">
      <c r="A88" s="1"/>
      <c r="B88" s="42"/>
      <c r="C88" s="13" t="s">
        <v>19</v>
      </c>
      <c r="D88" s="13" t="s">
        <v>112</v>
      </c>
      <c r="E88" s="13" t="s">
        <v>113</v>
      </c>
      <c r="F88" s="13" t="s">
        <v>160</v>
      </c>
      <c r="G88" s="13" t="s">
        <v>144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" x14ac:dyDescent="0.2">
      <c r="A89" s="1"/>
      <c r="B89" s="42"/>
      <c r="C89" s="13" t="s">
        <v>29</v>
      </c>
      <c r="D89" s="13" t="s">
        <v>145</v>
      </c>
      <c r="E89" s="13" t="s">
        <v>146</v>
      </c>
      <c r="F89" s="13" t="s">
        <v>161</v>
      </c>
      <c r="G89" s="13" t="s">
        <v>147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1.5" customHeight="1" x14ac:dyDescent="0.2">
      <c r="A90" s="1"/>
      <c r="B90" s="42"/>
      <c r="C90" s="13" t="s">
        <v>30</v>
      </c>
      <c r="D90" s="13" t="s">
        <v>162</v>
      </c>
      <c r="E90" s="13" t="s">
        <v>119</v>
      </c>
      <c r="F90" s="63" t="s">
        <v>436</v>
      </c>
      <c r="G90" s="13" t="s">
        <v>69</v>
      </c>
      <c r="H90" s="68" t="s">
        <v>300</v>
      </c>
      <c r="I90" s="58" t="s">
        <v>437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" x14ac:dyDescent="0.2">
      <c r="A91" s="1"/>
      <c r="B91" s="42"/>
      <c r="C91" s="13" t="s">
        <v>21</v>
      </c>
      <c r="D91" s="13" t="s">
        <v>148</v>
      </c>
      <c r="E91" s="13" t="s">
        <v>149</v>
      </c>
      <c r="F91" s="13" t="s">
        <v>150</v>
      </c>
      <c r="G91" s="13" t="s">
        <v>151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7" x14ac:dyDescent="0.2">
      <c r="A92" s="1"/>
      <c r="B92" s="42"/>
      <c r="C92" s="13" t="s">
        <v>22</v>
      </c>
      <c r="D92" s="13" t="s">
        <v>152</v>
      </c>
      <c r="E92" s="13" t="s">
        <v>153</v>
      </c>
      <c r="F92" s="13" t="s">
        <v>154</v>
      </c>
      <c r="G92" s="13" t="s">
        <v>155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34" x14ac:dyDescent="0.2">
      <c r="A93" s="1"/>
      <c r="B93" s="42"/>
      <c r="C93" s="13" t="s">
        <v>23</v>
      </c>
      <c r="D93" s="13" t="s">
        <v>112</v>
      </c>
      <c r="E93" s="13" t="s">
        <v>122</v>
      </c>
      <c r="F93" s="13" t="s">
        <v>156</v>
      </c>
      <c r="G93" s="63" t="s">
        <v>438</v>
      </c>
      <c r="H93" s="58" t="s">
        <v>300</v>
      </c>
      <c r="I93" s="58" t="s">
        <v>439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72" customHeight="1" x14ac:dyDescent="0.2">
      <c r="A94" s="1"/>
      <c r="B94" s="42"/>
      <c r="C94" s="63" t="s">
        <v>440</v>
      </c>
      <c r="D94" s="63" t="s">
        <v>441</v>
      </c>
      <c r="E94" s="63" t="s">
        <v>442</v>
      </c>
      <c r="F94" s="63" t="s">
        <v>443</v>
      </c>
      <c r="G94" s="63" t="s">
        <v>444</v>
      </c>
      <c r="H94" s="58" t="s">
        <v>298</v>
      </c>
      <c r="I94" s="58" t="s">
        <v>445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39" customHeight="1" x14ac:dyDescent="0.2">
      <c r="A95" s="1"/>
      <c r="B95" s="42"/>
      <c r="C95" s="63" t="s">
        <v>446</v>
      </c>
      <c r="D95" s="63" t="s">
        <v>447</v>
      </c>
      <c r="E95" s="63" t="s">
        <v>132</v>
      </c>
      <c r="F95" s="63" t="s">
        <v>448</v>
      </c>
      <c r="G95" s="63" t="s">
        <v>449</v>
      </c>
      <c r="H95" s="58" t="s">
        <v>298</v>
      </c>
      <c r="I95" s="58" t="s">
        <v>450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8" customHeight="1" x14ac:dyDescent="0.2">
      <c r="A96" s="1"/>
      <c r="B96" s="42"/>
      <c r="C96" s="63" t="s">
        <v>451</v>
      </c>
      <c r="D96" s="63" t="s">
        <v>452</v>
      </c>
      <c r="E96" s="63" t="s">
        <v>125</v>
      </c>
      <c r="F96" s="63" t="s">
        <v>453</v>
      </c>
      <c r="G96" s="63" t="s">
        <v>454</v>
      </c>
      <c r="H96" s="58" t="s">
        <v>298</v>
      </c>
      <c r="I96" s="58" t="s">
        <v>455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88.5" customHeight="1" x14ac:dyDescent="0.2">
      <c r="A97" s="1"/>
      <c r="B97" s="42"/>
      <c r="C97" s="63" t="s">
        <v>229</v>
      </c>
      <c r="D97" s="13" t="s">
        <v>157</v>
      </c>
      <c r="E97" s="13" t="s">
        <v>119</v>
      </c>
      <c r="F97" s="63" t="s">
        <v>456</v>
      </c>
      <c r="G97" s="13" t="s">
        <v>39</v>
      </c>
      <c r="H97" s="58" t="s">
        <v>300</v>
      </c>
      <c r="I97" s="58" t="s">
        <v>457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34" x14ac:dyDescent="0.2">
      <c r="A98" s="1"/>
      <c r="B98" s="42"/>
      <c r="C98" s="13" t="s">
        <v>35</v>
      </c>
      <c r="D98" s="13" t="s">
        <v>112</v>
      </c>
      <c r="E98" s="13" t="s">
        <v>158</v>
      </c>
      <c r="F98" s="13" t="s">
        <v>163</v>
      </c>
      <c r="G98" s="13" t="s">
        <v>164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55.5" customHeight="1" x14ac:dyDescent="0.2">
      <c r="A99" s="1"/>
      <c r="B99" s="41" t="s">
        <v>94</v>
      </c>
      <c r="C99" s="13" t="s">
        <v>16</v>
      </c>
      <c r="D99" s="63" t="s">
        <v>348</v>
      </c>
      <c r="E99" s="13" t="s">
        <v>111</v>
      </c>
      <c r="F99" s="63" t="s">
        <v>458</v>
      </c>
      <c r="G99" s="63" t="s">
        <v>459</v>
      </c>
      <c r="H99" s="58" t="s">
        <v>298</v>
      </c>
      <c r="I99" s="58" t="s">
        <v>431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55.5" customHeight="1" x14ac:dyDescent="0.2">
      <c r="A100" s="1"/>
      <c r="B100" s="42"/>
      <c r="C100" s="13" t="s">
        <v>18</v>
      </c>
      <c r="D100" s="13" t="s">
        <v>112</v>
      </c>
      <c r="E100" s="13" t="s">
        <v>140</v>
      </c>
      <c r="F100" s="63" t="s">
        <v>460</v>
      </c>
      <c r="G100" s="13" t="s">
        <v>165</v>
      </c>
      <c r="H100" s="68" t="s">
        <v>300</v>
      </c>
      <c r="I100" s="58" t="s">
        <v>433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39" customHeight="1" x14ac:dyDescent="0.2">
      <c r="A101" s="1"/>
      <c r="B101" s="42"/>
      <c r="C101" s="63" t="s">
        <v>362</v>
      </c>
      <c r="D101" s="13" t="s">
        <v>112</v>
      </c>
      <c r="E101" s="13" t="s">
        <v>113</v>
      </c>
      <c r="F101" s="63" t="s">
        <v>414</v>
      </c>
      <c r="G101" s="13" t="s">
        <v>142</v>
      </c>
      <c r="H101" s="68" t="s">
        <v>298</v>
      </c>
      <c r="I101" s="58" t="s">
        <v>434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39" customHeight="1" x14ac:dyDescent="0.2">
      <c r="A102" s="1"/>
      <c r="B102" s="42"/>
      <c r="C102" s="63" t="s">
        <v>365</v>
      </c>
      <c r="D102" s="63" t="s">
        <v>112</v>
      </c>
      <c r="E102" s="63" t="s">
        <v>113</v>
      </c>
      <c r="F102" s="63" t="s">
        <v>416</v>
      </c>
      <c r="G102" s="63" t="s">
        <v>360</v>
      </c>
      <c r="H102" s="68" t="s">
        <v>298</v>
      </c>
      <c r="I102" s="58" t="s">
        <v>435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39" customHeight="1" x14ac:dyDescent="0.2">
      <c r="A103" s="1"/>
      <c r="B103" s="42"/>
      <c r="C103" s="63" t="s">
        <v>379</v>
      </c>
      <c r="D103" s="63" t="s">
        <v>112</v>
      </c>
      <c r="E103" s="63" t="s">
        <v>380</v>
      </c>
      <c r="F103" s="63" t="s">
        <v>418</v>
      </c>
      <c r="G103" s="63" t="s">
        <v>419</v>
      </c>
      <c r="H103" s="68" t="s">
        <v>298</v>
      </c>
      <c r="I103" s="58" t="s">
        <v>435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7" x14ac:dyDescent="0.2">
      <c r="A104" s="1"/>
      <c r="B104" s="42"/>
      <c r="C104" s="13" t="s">
        <v>19</v>
      </c>
      <c r="D104" s="13" t="s">
        <v>112</v>
      </c>
      <c r="E104" s="13" t="s">
        <v>113</v>
      </c>
      <c r="F104" s="13" t="s">
        <v>166</v>
      </c>
      <c r="G104" s="13" t="s">
        <v>144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" x14ac:dyDescent="0.2">
      <c r="A105" s="1"/>
      <c r="B105" s="42"/>
      <c r="C105" s="13" t="s">
        <v>20</v>
      </c>
      <c r="D105" s="13" t="s">
        <v>145</v>
      </c>
      <c r="E105" s="13" t="s">
        <v>146</v>
      </c>
      <c r="F105" s="13" t="s">
        <v>167</v>
      </c>
      <c r="G105" s="13" t="s">
        <v>168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7" x14ac:dyDescent="0.2">
      <c r="A106" s="1"/>
      <c r="B106" s="42"/>
      <c r="C106" s="13" t="s">
        <v>21</v>
      </c>
      <c r="D106" s="13" t="s">
        <v>148</v>
      </c>
      <c r="E106" s="13" t="s">
        <v>149</v>
      </c>
      <c r="F106" s="13" t="s">
        <v>150</v>
      </c>
      <c r="G106" s="13" t="s">
        <v>151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7" x14ac:dyDescent="0.2">
      <c r="A107" s="1"/>
      <c r="B107" s="42"/>
      <c r="C107" s="13" t="s">
        <v>22</v>
      </c>
      <c r="D107" s="13" t="s">
        <v>152</v>
      </c>
      <c r="E107" s="13" t="s">
        <v>153</v>
      </c>
      <c r="F107" s="13" t="s">
        <v>154</v>
      </c>
      <c r="G107" s="13" t="s">
        <v>155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88.5" customHeight="1" x14ac:dyDescent="0.2">
      <c r="A108" s="1"/>
      <c r="B108" s="42"/>
      <c r="C108" s="13" t="s">
        <v>23</v>
      </c>
      <c r="D108" s="13" t="s">
        <v>112</v>
      </c>
      <c r="E108" s="13" t="s">
        <v>122</v>
      </c>
      <c r="F108" s="63" t="s">
        <v>423</v>
      </c>
      <c r="G108" s="63" t="s">
        <v>353</v>
      </c>
      <c r="H108" s="58" t="s">
        <v>300</v>
      </c>
      <c r="I108" s="58" t="s">
        <v>461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55.5" customHeight="1" x14ac:dyDescent="0.2">
      <c r="A109" s="1"/>
      <c r="B109" s="42"/>
      <c r="C109" s="13" t="s">
        <v>169</v>
      </c>
      <c r="D109" s="13" t="s">
        <v>112</v>
      </c>
      <c r="E109" s="13" t="s">
        <v>170</v>
      </c>
      <c r="F109" s="63" t="s">
        <v>462</v>
      </c>
      <c r="G109" s="13" t="s">
        <v>171</v>
      </c>
      <c r="H109" s="68" t="s">
        <v>300</v>
      </c>
      <c r="I109" s="58" t="s">
        <v>463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8" customHeight="1" x14ac:dyDescent="0.2">
      <c r="A110" s="1"/>
      <c r="B110" s="42"/>
      <c r="C110" s="13" t="s">
        <v>172</v>
      </c>
      <c r="D110" s="13" t="s">
        <v>173</v>
      </c>
      <c r="E110" s="13" t="s">
        <v>170</v>
      </c>
      <c r="F110" s="63" t="s">
        <v>464</v>
      </c>
      <c r="G110" s="63" t="s">
        <v>275</v>
      </c>
      <c r="H110" s="68" t="s">
        <v>300</v>
      </c>
      <c r="I110" s="58" t="s">
        <v>465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72" customHeight="1" x14ac:dyDescent="0.2">
      <c r="A111" s="1"/>
      <c r="B111" s="42"/>
      <c r="C111" s="63" t="s">
        <v>440</v>
      </c>
      <c r="D111" s="63" t="s">
        <v>441</v>
      </c>
      <c r="E111" s="63" t="s">
        <v>442</v>
      </c>
      <c r="F111" s="63" t="s">
        <v>443</v>
      </c>
      <c r="G111" s="63" t="s">
        <v>444</v>
      </c>
      <c r="H111" s="68" t="s">
        <v>298</v>
      </c>
      <c r="I111" s="58" t="s">
        <v>466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2.5" customHeight="1" x14ac:dyDescent="0.2">
      <c r="A112" s="1"/>
      <c r="B112" s="42"/>
      <c r="C112" s="63" t="s">
        <v>446</v>
      </c>
      <c r="D112" s="63" t="s">
        <v>467</v>
      </c>
      <c r="E112" s="63" t="s">
        <v>132</v>
      </c>
      <c r="F112" s="63" t="s">
        <v>468</v>
      </c>
      <c r="G112" s="63" t="s">
        <v>449</v>
      </c>
      <c r="H112" s="68" t="s">
        <v>298</v>
      </c>
      <c r="I112" s="58" t="s">
        <v>469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39" customHeight="1" x14ac:dyDescent="0.2">
      <c r="A113" s="1"/>
      <c r="B113" s="42"/>
      <c r="C113" s="63" t="s">
        <v>451</v>
      </c>
      <c r="D113" s="63" t="s">
        <v>11</v>
      </c>
      <c r="E113" s="63" t="s">
        <v>125</v>
      </c>
      <c r="F113" s="63" t="s">
        <v>453</v>
      </c>
      <c r="G113" s="63" t="s">
        <v>454</v>
      </c>
      <c r="H113" s="68" t="s">
        <v>298</v>
      </c>
      <c r="I113" s="58" t="s">
        <v>470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72" customHeight="1" x14ac:dyDescent="0.2">
      <c r="A114" s="1"/>
      <c r="B114" s="43"/>
      <c r="C114" s="63" t="s">
        <v>471</v>
      </c>
      <c r="D114" s="13" t="s">
        <v>112</v>
      </c>
      <c r="E114" s="13" t="s">
        <v>158</v>
      </c>
      <c r="F114" s="63" t="s">
        <v>472</v>
      </c>
      <c r="G114" s="13" t="s">
        <v>175</v>
      </c>
      <c r="H114" s="68" t="s">
        <v>298</v>
      </c>
      <c r="I114" s="58" t="s">
        <v>473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55.5" customHeight="1" x14ac:dyDescent="0.2">
      <c r="A115" s="1"/>
      <c r="B115" s="41" t="s">
        <v>96</v>
      </c>
      <c r="C115" s="13" t="s">
        <v>16</v>
      </c>
      <c r="D115" s="63" t="s">
        <v>348</v>
      </c>
      <c r="E115" s="13" t="s">
        <v>111</v>
      </c>
      <c r="F115" s="63" t="s">
        <v>474</v>
      </c>
      <c r="G115" s="63" t="s">
        <v>475</v>
      </c>
      <c r="H115" s="58" t="s">
        <v>298</v>
      </c>
      <c r="I115" s="58" t="s">
        <v>431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7" x14ac:dyDescent="0.2">
      <c r="A116" s="1"/>
      <c r="B116" s="42"/>
      <c r="C116" s="13" t="s">
        <v>18</v>
      </c>
      <c r="D116" s="13" t="s">
        <v>112</v>
      </c>
      <c r="E116" s="13" t="s">
        <v>140</v>
      </c>
      <c r="F116" s="13" t="s">
        <v>176</v>
      </c>
      <c r="G116" s="13" t="s">
        <v>177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39" customHeight="1" x14ac:dyDescent="0.2">
      <c r="A117" s="1"/>
      <c r="B117" s="42"/>
      <c r="C117" s="63" t="s">
        <v>362</v>
      </c>
      <c r="D117" s="13" t="s">
        <v>112</v>
      </c>
      <c r="E117" s="13" t="s">
        <v>113</v>
      </c>
      <c r="F117" s="63" t="s">
        <v>414</v>
      </c>
      <c r="G117" s="13" t="s">
        <v>142</v>
      </c>
      <c r="H117" s="68" t="s">
        <v>298</v>
      </c>
      <c r="I117" s="58" t="s">
        <v>434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39" customHeight="1" x14ac:dyDescent="0.2">
      <c r="A118" s="1"/>
      <c r="B118" s="42"/>
      <c r="C118" s="63" t="s">
        <v>365</v>
      </c>
      <c r="D118" s="63" t="s">
        <v>112</v>
      </c>
      <c r="E118" s="63" t="s">
        <v>113</v>
      </c>
      <c r="F118" s="63" t="s">
        <v>416</v>
      </c>
      <c r="G118" s="63" t="s">
        <v>360</v>
      </c>
      <c r="H118" s="68" t="s">
        <v>298</v>
      </c>
      <c r="I118" s="58" t="s">
        <v>435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39" customHeight="1" x14ac:dyDescent="0.2">
      <c r="A119" s="1"/>
      <c r="B119" s="42"/>
      <c r="C119" s="63" t="s">
        <v>379</v>
      </c>
      <c r="D119" s="63" t="s">
        <v>112</v>
      </c>
      <c r="E119" s="63" t="s">
        <v>380</v>
      </c>
      <c r="F119" s="63" t="s">
        <v>418</v>
      </c>
      <c r="G119" s="63" t="s">
        <v>419</v>
      </c>
      <c r="H119" s="68" t="s">
        <v>298</v>
      </c>
      <c r="I119" s="58" t="s">
        <v>435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34" x14ac:dyDescent="0.2">
      <c r="A120" s="1"/>
      <c r="B120" s="42"/>
      <c r="C120" s="13" t="s">
        <v>19</v>
      </c>
      <c r="D120" s="13" t="s">
        <v>112</v>
      </c>
      <c r="E120" s="13" t="s">
        <v>113</v>
      </c>
      <c r="F120" s="13" t="s">
        <v>178</v>
      </c>
      <c r="G120" s="13" t="s">
        <v>144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51" x14ac:dyDescent="0.2">
      <c r="A121" s="1"/>
      <c r="B121" s="42"/>
      <c r="C121" s="13" t="s">
        <v>20</v>
      </c>
      <c r="D121" s="13" t="s">
        <v>145</v>
      </c>
      <c r="E121" s="13" t="s">
        <v>146</v>
      </c>
      <c r="F121" s="13" t="s">
        <v>179</v>
      </c>
      <c r="G121" s="13" t="s">
        <v>180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34" x14ac:dyDescent="0.2">
      <c r="A122" s="1"/>
      <c r="B122" s="42"/>
      <c r="C122" s="13" t="s">
        <v>21</v>
      </c>
      <c r="D122" s="13" t="s">
        <v>148</v>
      </c>
      <c r="E122" s="13" t="s">
        <v>149</v>
      </c>
      <c r="F122" s="13" t="s">
        <v>181</v>
      </c>
      <c r="G122" s="13" t="s">
        <v>151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34" x14ac:dyDescent="0.2">
      <c r="A123" s="1"/>
      <c r="B123" s="42"/>
      <c r="C123" s="13" t="s">
        <v>22</v>
      </c>
      <c r="D123" s="13" t="s">
        <v>152</v>
      </c>
      <c r="E123" s="13" t="s">
        <v>153</v>
      </c>
      <c r="F123" s="13" t="s">
        <v>182</v>
      </c>
      <c r="G123" s="13" t="s">
        <v>155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34" x14ac:dyDescent="0.2">
      <c r="A124" s="1"/>
      <c r="B124" s="42"/>
      <c r="C124" s="13" t="s">
        <v>23</v>
      </c>
      <c r="D124" s="13" t="s">
        <v>112</v>
      </c>
      <c r="E124" s="13" t="s">
        <v>122</v>
      </c>
      <c r="F124" s="13" t="s">
        <v>183</v>
      </c>
      <c r="G124" s="63" t="s">
        <v>353</v>
      </c>
      <c r="H124" s="58" t="s">
        <v>300</v>
      </c>
      <c r="I124" s="58" t="s">
        <v>439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39" customHeight="1" x14ac:dyDescent="0.2">
      <c r="A125" s="1"/>
      <c r="B125" s="42"/>
      <c r="C125" s="13" t="s">
        <v>184</v>
      </c>
      <c r="D125" s="13" t="s">
        <v>185</v>
      </c>
      <c r="E125" s="13" t="s">
        <v>111</v>
      </c>
      <c r="F125" s="13" t="s">
        <v>186</v>
      </c>
      <c r="G125" s="63" t="s">
        <v>267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2.5" customHeight="1" x14ac:dyDescent="0.2">
      <c r="A126" s="1"/>
      <c r="B126" s="42"/>
      <c r="C126" s="13" t="s">
        <v>187</v>
      </c>
      <c r="D126" s="13" t="s">
        <v>188</v>
      </c>
      <c r="E126" s="13" t="s">
        <v>132</v>
      </c>
      <c r="F126" s="63" t="s">
        <v>476</v>
      </c>
      <c r="G126" s="63" t="s">
        <v>477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39" customHeight="1" x14ac:dyDescent="0.2">
      <c r="A127" s="1"/>
      <c r="B127" s="42"/>
      <c r="C127" s="13" t="s">
        <v>189</v>
      </c>
      <c r="D127" s="13" t="s">
        <v>112</v>
      </c>
      <c r="E127" s="13" t="s">
        <v>158</v>
      </c>
      <c r="F127" s="13" t="s">
        <v>190</v>
      </c>
      <c r="G127" s="63" t="s">
        <v>478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39" customHeight="1" x14ac:dyDescent="0.2">
      <c r="A128" s="1"/>
      <c r="B128" s="43"/>
      <c r="C128" s="13" t="s">
        <v>191</v>
      </c>
      <c r="D128" s="13" t="s">
        <v>112</v>
      </c>
      <c r="E128" s="13" t="s">
        <v>192</v>
      </c>
      <c r="F128" s="13" t="s">
        <v>193</v>
      </c>
      <c r="G128" s="63" t="s">
        <v>479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 x14ac:dyDescent="0.2">
      <c r="A129" s="1"/>
      <c r="B129" s="44"/>
      <c r="C129" s="44"/>
      <c r="D129" s="44"/>
      <c r="E129" s="44"/>
      <c r="F129" s="44"/>
      <c r="G129" s="4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" x14ac:dyDescent="0.2">
      <c r="A130" s="1"/>
      <c r="B130" s="45" t="s">
        <v>194</v>
      </c>
      <c r="C130" s="44"/>
      <c r="D130" s="44"/>
      <c r="E130" s="44"/>
      <c r="F130" s="44"/>
      <c r="G130" s="4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" x14ac:dyDescent="0.2">
      <c r="A131" s="1"/>
      <c r="B131" s="44"/>
      <c r="C131" s="44"/>
      <c r="D131" s="44"/>
      <c r="E131" s="44"/>
      <c r="F131" s="44"/>
      <c r="G131" s="4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" x14ac:dyDescent="0.2">
      <c r="A132" s="1"/>
      <c r="B132" s="46" t="s">
        <v>195</v>
      </c>
      <c r="C132" s="44"/>
      <c r="D132" s="44"/>
      <c r="E132" s="44"/>
      <c r="F132" s="44"/>
      <c r="G132" s="4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" x14ac:dyDescent="0.2">
      <c r="A133" s="1"/>
      <c r="B133" s="47" t="s">
        <v>196</v>
      </c>
      <c r="C133" s="48" t="s">
        <v>197</v>
      </c>
      <c r="D133" s="48" t="s">
        <v>198</v>
      </c>
      <c r="E133" s="48" t="s">
        <v>199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 x14ac:dyDescent="0.2">
      <c r="A134" s="1"/>
      <c r="B134" s="49" t="s">
        <v>37</v>
      </c>
      <c r="C134" s="50" t="s">
        <v>50</v>
      </c>
      <c r="D134" s="51" t="s">
        <v>200</v>
      </c>
      <c r="E134" s="86" t="s">
        <v>201</v>
      </c>
      <c r="F134" s="84"/>
      <c r="G134" s="8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" x14ac:dyDescent="0.2">
      <c r="A135" s="1"/>
      <c r="B135" s="52"/>
      <c r="C135" s="50" t="s">
        <v>55</v>
      </c>
      <c r="D135" s="51" t="s">
        <v>202</v>
      </c>
      <c r="E135" s="86" t="s">
        <v>203</v>
      </c>
      <c r="F135" s="84"/>
      <c r="G135" s="8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39" customHeight="1" x14ac:dyDescent="0.2">
      <c r="A136" s="1"/>
      <c r="B136" s="52"/>
      <c r="C136" s="64" t="s">
        <v>63</v>
      </c>
      <c r="D136" s="65" t="s">
        <v>218</v>
      </c>
      <c r="E136" s="83" t="s">
        <v>480</v>
      </c>
      <c r="F136" s="84"/>
      <c r="G136" s="85"/>
      <c r="H136" s="58" t="s">
        <v>296</v>
      </c>
      <c r="I136" s="58" t="s">
        <v>481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" x14ac:dyDescent="0.2">
      <c r="A137" s="1"/>
      <c r="B137" s="53"/>
      <c r="C137" s="50" t="s">
        <v>59</v>
      </c>
      <c r="D137" s="51" t="s">
        <v>204</v>
      </c>
      <c r="E137" s="86" t="s">
        <v>205</v>
      </c>
      <c r="F137" s="84"/>
      <c r="G137" s="8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39" customHeight="1" x14ac:dyDescent="0.2">
      <c r="A138" s="1"/>
      <c r="B138" s="54" t="s">
        <v>38</v>
      </c>
      <c r="C138" s="55" t="s">
        <v>51</v>
      </c>
      <c r="D138" s="70" t="s">
        <v>482</v>
      </c>
      <c r="E138" s="87" t="s">
        <v>483</v>
      </c>
      <c r="F138" s="84"/>
      <c r="G138" s="85"/>
      <c r="H138" s="68" t="s">
        <v>296</v>
      </c>
      <c r="I138" s="58" t="s">
        <v>484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39" customHeight="1" x14ac:dyDescent="0.2">
      <c r="A139" s="1"/>
      <c r="B139" s="56"/>
      <c r="C139" s="55" t="s">
        <v>56</v>
      </c>
      <c r="D139" s="70" t="s">
        <v>485</v>
      </c>
      <c r="E139" s="87" t="s">
        <v>486</v>
      </c>
      <c r="F139" s="84"/>
      <c r="G139" s="85"/>
      <c r="H139" s="68" t="s">
        <v>296</v>
      </c>
      <c r="I139" s="58" t="s">
        <v>484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39" customHeight="1" x14ac:dyDescent="0.2">
      <c r="A140" s="1"/>
      <c r="B140" s="56"/>
      <c r="C140" s="71" t="s">
        <v>487</v>
      </c>
      <c r="D140" s="70" t="s">
        <v>488</v>
      </c>
      <c r="E140" s="87" t="s">
        <v>489</v>
      </c>
      <c r="F140" s="84"/>
      <c r="G140" s="85"/>
      <c r="H140" s="68" t="s">
        <v>298</v>
      </c>
      <c r="I140" s="58" t="s">
        <v>490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 x14ac:dyDescent="0.2">
      <c r="A141" s="1"/>
      <c r="B141" s="49" t="s">
        <v>40</v>
      </c>
      <c r="C141" s="50" t="s">
        <v>134</v>
      </c>
      <c r="D141" s="51" t="s">
        <v>206</v>
      </c>
      <c r="E141" s="86" t="s">
        <v>207</v>
      </c>
      <c r="F141" s="84"/>
      <c r="G141" s="8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" x14ac:dyDescent="0.2">
      <c r="A142" s="1"/>
      <c r="B142" s="52"/>
      <c r="C142" s="50" t="s">
        <v>208</v>
      </c>
      <c r="D142" s="51" t="s">
        <v>209</v>
      </c>
      <c r="E142" s="86" t="s">
        <v>210</v>
      </c>
      <c r="F142" s="84"/>
      <c r="G142" s="8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 x14ac:dyDescent="0.2">
      <c r="A143" s="1"/>
      <c r="B143" s="53"/>
      <c r="C143" s="50" t="s">
        <v>211</v>
      </c>
      <c r="D143" s="51" t="s">
        <v>212</v>
      </c>
      <c r="E143" s="86" t="s">
        <v>213</v>
      </c>
      <c r="F143" s="84"/>
      <c r="G143" s="8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" x14ac:dyDescent="0.2">
      <c r="A144" s="1"/>
      <c r="B144" s="52" t="s">
        <v>42</v>
      </c>
      <c r="C144" s="50" t="s">
        <v>57</v>
      </c>
      <c r="D144" s="51" t="s">
        <v>57</v>
      </c>
      <c r="E144" s="86" t="s">
        <v>214</v>
      </c>
      <c r="F144" s="84"/>
      <c r="G144" s="8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 x14ac:dyDescent="0.2">
      <c r="A145" s="1"/>
      <c r="B145" s="52"/>
      <c r="C145" s="50" t="s">
        <v>54</v>
      </c>
      <c r="D145" s="51" t="s">
        <v>54</v>
      </c>
      <c r="E145" s="86" t="s">
        <v>215</v>
      </c>
      <c r="F145" s="84"/>
      <c r="G145" s="8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" x14ac:dyDescent="0.2">
      <c r="A146" s="1"/>
      <c r="B146" s="52"/>
      <c r="C146" s="50" t="s">
        <v>60</v>
      </c>
      <c r="D146" s="51" t="s">
        <v>60</v>
      </c>
      <c r="E146" s="86" t="s">
        <v>216</v>
      </c>
      <c r="F146" s="84"/>
      <c r="G146" s="8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 x14ac:dyDescent="0.2">
      <c r="A147" s="1"/>
      <c r="B147" s="52"/>
      <c r="C147" s="50" t="s">
        <v>61</v>
      </c>
      <c r="D147" s="51" t="s">
        <v>61</v>
      </c>
      <c r="E147" s="86" t="s">
        <v>217</v>
      </c>
      <c r="F147" s="84"/>
      <c r="G147" s="8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" x14ac:dyDescent="0.2">
      <c r="A148" s="1"/>
      <c r="B148" s="52"/>
      <c r="C148" s="50" t="s">
        <v>63</v>
      </c>
      <c r="D148" s="51" t="s">
        <v>218</v>
      </c>
      <c r="E148" s="86" t="s">
        <v>219</v>
      </c>
      <c r="F148" s="84"/>
      <c r="G148" s="8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" x14ac:dyDescent="0.2">
      <c r="A149" s="1"/>
      <c r="B149" s="53"/>
      <c r="C149" s="50" t="s">
        <v>59</v>
      </c>
      <c r="D149" s="51" t="s">
        <v>204</v>
      </c>
      <c r="E149" s="86" t="s">
        <v>220</v>
      </c>
      <c r="F149" s="84"/>
      <c r="G149" s="8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" x14ac:dyDescent="0.2">
      <c r="A150" s="1"/>
      <c r="B150" s="52" t="s">
        <v>43</v>
      </c>
      <c r="C150" s="50" t="s">
        <v>139</v>
      </c>
      <c r="D150" s="51" t="s">
        <v>221</v>
      </c>
      <c r="E150" s="86" t="s">
        <v>222</v>
      </c>
      <c r="F150" s="84"/>
      <c r="G150" s="8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" x14ac:dyDescent="0.2">
      <c r="A151" s="1"/>
      <c r="B151" s="52"/>
      <c r="C151" s="50" t="s">
        <v>223</v>
      </c>
      <c r="D151" s="51" t="s">
        <v>224</v>
      </c>
      <c r="E151" s="86" t="s">
        <v>225</v>
      </c>
      <c r="F151" s="84"/>
      <c r="G151" s="8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" x14ac:dyDescent="0.2">
      <c r="A152" s="1"/>
      <c r="B152" s="53"/>
      <c r="C152" s="50" t="s">
        <v>226</v>
      </c>
      <c r="D152" s="51" t="s">
        <v>227</v>
      </c>
      <c r="E152" s="86" t="s">
        <v>228</v>
      </c>
      <c r="F152" s="84"/>
      <c r="G152" s="8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55.5" customHeight="1" x14ac:dyDescent="0.2">
      <c r="A153" s="1"/>
      <c r="B153" s="81" t="s">
        <v>395</v>
      </c>
      <c r="C153" s="80" t="s">
        <v>491</v>
      </c>
      <c r="D153" s="63" t="s">
        <v>492</v>
      </c>
      <c r="E153" s="83" t="s">
        <v>493</v>
      </c>
      <c r="F153" s="84"/>
      <c r="G153" s="85"/>
      <c r="H153" s="58" t="s">
        <v>298</v>
      </c>
      <c r="I153" s="58" t="s">
        <v>494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39" customHeight="1" x14ac:dyDescent="0.2">
      <c r="A154" s="1"/>
      <c r="B154" s="53"/>
      <c r="C154" s="80" t="s">
        <v>398</v>
      </c>
      <c r="D154" s="63" t="s">
        <v>495</v>
      </c>
      <c r="E154" s="83" t="s">
        <v>496</v>
      </c>
      <c r="F154" s="84"/>
      <c r="G154" s="8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" x14ac:dyDescent="0.2">
      <c r="A155" s="1"/>
      <c r="B155" s="52" t="s">
        <v>229</v>
      </c>
      <c r="C155" s="50" t="s">
        <v>39</v>
      </c>
      <c r="D155" s="51" t="s">
        <v>230</v>
      </c>
      <c r="E155" s="86" t="s">
        <v>231</v>
      </c>
      <c r="F155" s="84"/>
      <c r="G155" s="8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" x14ac:dyDescent="0.2">
      <c r="A156" s="1"/>
      <c r="B156" s="52"/>
      <c r="C156" s="50" t="s">
        <v>44</v>
      </c>
      <c r="D156" s="51" t="s">
        <v>232</v>
      </c>
      <c r="E156" s="86" t="s">
        <v>233</v>
      </c>
      <c r="F156" s="84"/>
      <c r="G156" s="8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" x14ac:dyDescent="0.2">
      <c r="A157" s="1"/>
      <c r="B157" s="52"/>
      <c r="C157" s="50" t="s">
        <v>45</v>
      </c>
      <c r="D157" s="51" t="s">
        <v>234</v>
      </c>
      <c r="E157" s="86" t="s">
        <v>235</v>
      </c>
      <c r="F157" s="84"/>
      <c r="G157" s="8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" x14ac:dyDescent="0.2">
      <c r="A158" s="1"/>
      <c r="B158" s="52"/>
      <c r="C158" s="50" t="s">
        <v>41</v>
      </c>
      <c r="D158" s="51" t="s">
        <v>236</v>
      </c>
      <c r="E158" s="86" t="s">
        <v>237</v>
      </c>
      <c r="F158" s="84"/>
      <c r="G158" s="8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" x14ac:dyDescent="0.2">
      <c r="A159" s="1"/>
      <c r="B159" s="53"/>
      <c r="C159" s="50" t="s">
        <v>48</v>
      </c>
      <c r="D159" s="51" t="s">
        <v>238</v>
      </c>
      <c r="E159" s="86" t="s">
        <v>239</v>
      </c>
      <c r="F159" s="84"/>
      <c r="G159" s="8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" x14ac:dyDescent="0.2">
      <c r="A160" s="1"/>
      <c r="B160" s="52" t="s">
        <v>30</v>
      </c>
      <c r="C160" s="50" t="s">
        <v>67</v>
      </c>
      <c r="D160" s="51" t="s">
        <v>240</v>
      </c>
      <c r="E160" s="86" t="s">
        <v>241</v>
      </c>
      <c r="F160" s="84"/>
      <c r="G160" s="8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" x14ac:dyDescent="0.2">
      <c r="A161" s="1"/>
      <c r="B161" s="52"/>
      <c r="C161" s="50" t="s">
        <v>69</v>
      </c>
      <c r="D161" s="51" t="s">
        <v>242</v>
      </c>
      <c r="E161" s="86" t="s">
        <v>243</v>
      </c>
      <c r="F161" s="84"/>
      <c r="G161" s="8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" x14ac:dyDescent="0.2">
      <c r="A162" s="1"/>
      <c r="B162" s="52"/>
      <c r="C162" s="50" t="s">
        <v>71</v>
      </c>
      <c r="D162" s="51" t="s">
        <v>244</v>
      </c>
      <c r="E162" s="86" t="s">
        <v>245</v>
      </c>
      <c r="F162" s="84"/>
      <c r="G162" s="8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" x14ac:dyDescent="0.2">
      <c r="A163" s="1"/>
      <c r="B163" s="52"/>
      <c r="C163" s="50" t="s">
        <v>72</v>
      </c>
      <c r="D163" s="51" t="s">
        <v>246</v>
      </c>
      <c r="E163" s="86" t="s">
        <v>247</v>
      </c>
      <c r="F163" s="84"/>
      <c r="G163" s="8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39" customHeight="1" x14ac:dyDescent="0.2">
      <c r="A164" s="1"/>
      <c r="B164" s="53"/>
      <c r="C164" s="80" t="s">
        <v>497</v>
      </c>
      <c r="D164" s="63" t="s">
        <v>498</v>
      </c>
      <c r="E164" s="83" t="s">
        <v>499</v>
      </c>
      <c r="F164" s="84"/>
      <c r="G164" s="85"/>
      <c r="H164" s="58" t="s">
        <v>298</v>
      </c>
      <c r="I164" s="58" t="s">
        <v>500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2.5" customHeight="1" x14ac:dyDescent="0.2">
      <c r="A165" s="1"/>
      <c r="B165" s="53"/>
      <c r="C165" s="80" t="s">
        <v>501</v>
      </c>
      <c r="D165" s="63" t="s">
        <v>502</v>
      </c>
      <c r="E165" s="83" t="s">
        <v>503</v>
      </c>
      <c r="F165" s="84"/>
      <c r="G165" s="8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39" customHeight="1" x14ac:dyDescent="0.2">
      <c r="A166" s="1"/>
      <c r="B166" s="53"/>
      <c r="C166" s="80" t="s">
        <v>504</v>
      </c>
      <c r="D166" s="63" t="s">
        <v>505</v>
      </c>
      <c r="E166" s="83" t="s">
        <v>506</v>
      </c>
      <c r="F166" s="84"/>
      <c r="G166" s="8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39" customHeight="1" x14ac:dyDescent="0.2">
      <c r="A167" s="1"/>
      <c r="B167" s="82" t="s">
        <v>440</v>
      </c>
      <c r="C167" s="80" t="s">
        <v>444</v>
      </c>
      <c r="D167" s="63" t="s">
        <v>507</v>
      </c>
      <c r="E167" s="83" t="s">
        <v>508</v>
      </c>
      <c r="F167" s="84"/>
      <c r="G167" s="85"/>
      <c r="H167" s="58" t="s">
        <v>298</v>
      </c>
      <c r="I167" s="58" t="s">
        <v>509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2.5" customHeight="1" x14ac:dyDescent="0.2">
      <c r="A168" s="1"/>
      <c r="B168" s="53"/>
      <c r="C168" s="80" t="s">
        <v>510</v>
      </c>
      <c r="D168" s="63" t="s">
        <v>511</v>
      </c>
      <c r="E168" s="83" t="s">
        <v>512</v>
      </c>
      <c r="F168" s="84"/>
      <c r="G168" s="8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2.5" customHeight="1" x14ac:dyDescent="0.2">
      <c r="A169" s="1"/>
      <c r="B169" s="53"/>
      <c r="C169" s="80" t="s">
        <v>513</v>
      </c>
      <c r="D169" s="63" t="s">
        <v>514</v>
      </c>
      <c r="E169" s="83" t="s">
        <v>515</v>
      </c>
      <c r="F169" s="84"/>
      <c r="G169" s="8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" x14ac:dyDescent="0.2">
      <c r="A170" s="1"/>
      <c r="B170" s="52" t="s">
        <v>21</v>
      </c>
      <c r="C170" s="50" t="s">
        <v>248</v>
      </c>
      <c r="D170" s="51" t="s">
        <v>249</v>
      </c>
      <c r="E170" s="86" t="s">
        <v>250</v>
      </c>
      <c r="F170" s="84"/>
      <c r="G170" s="8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" x14ac:dyDescent="0.2">
      <c r="A171" s="1"/>
      <c r="B171" s="52"/>
      <c r="C171" s="50" t="s">
        <v>251</v>
      </c>
      <c r="D171" s="51" t="s">
        <v>252</v>
      </c>
      <c r="E171" s="86" t="s">
        <v>250</v>
      </c>
      <c r="F171" s="84"/>
      <c r="G171" s="8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" x14ac:dyDescent="0.2">
      <c r="A172" s="1"/>
      <c r="B172" s="52"/>
      <c r="C172" s="50" t="s">
        <v>253</v>
      </c>
      <c r="D172" s="51" t="s">
        <v>254</v>
      </c>
      <c r="E172" s="86" t="s">
        <v>250</v>
      </c>
      <c r="F172" s="84"/>
      <c r="G172" s="8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" x14ac:dyDescent="0.2">
      <c r="A173" s="1"/>
      <c r="B173" s="52"/>
      <c r="C173" s="50" t="s">
        <v>255</v>
      </c>
      <c r="D173" s="51" t="s">
        <v>256</v>
      </c>
      <c r="E173" s="86" t="s">
        <v>250</v>
      </c>
      <c r="F173" s="84"/>
      <c r="G173" s="8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" x14ac:dyDescent="0.2">
      <c r="A174" s="1"/>
      <c r="B174" s="52"/>
      <c r="C174" s="50" t="s">
        <v>151</v>
      </c>
      <c r="D174" s="51" t="s">
        <v>257</v>
      </c>
      <c r="E174" s="86" t="s">
        <v>250</v>
      </c>
      <c r="F174" s="84"/>
      <c r="G174" s="8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" x14ac:dyDescent="0.2">
      <c r="A175" s="1"/>
      <c r="B175" s="52"/>
      <c r="C175" s="50" t="s">
        <v>258</v>
      </c>
      <c r="D175" s="51" t="s">
        <v>259</v>
      </c>
      <c r="E175" s="86" t="s">
        <v>250</v>
      </c>
      <c r="F175" s="84"/>
      <c r="G175" s="8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" x14ac:dyDescent="0.2">
      <c r="A176" s="1"/>
      <c r="B176" s="53"/>
      <c r="C176" s="50" t="s">
        <v>260</v>
      </c>
      <c r="D176" s="51" t="s">
        <v>261</v>
      </c>
      <c r="E176" s="86" t="s">
        <v>250</v>
      </c>
      <c r="F176" s="84"/>
      <c r="G176" s="8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 x14ac:dyDescent="0.2">
      <c r="A177" s="1"/>
      <c r="B177" s="52" t="s">
        <v>22</v>
      </c>
      <c r="C177" s="50" t="s">
        <v>262</v>
      </c>
      <c r="D177" s="51" t="s">
        <v>263</v>
      </c>
      <c r="E177" s="86" t="s">
        <v>264</v>
      </c>
      <c r="F177" s="84"/>
      <c r="G177" s="8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" x14ac:dyDescent="0.2">
      <c r="A178" s="1"/>
      <c r="B178" s="53"/>
      <c r="C178" s="50" t="s">
        <v>155</v>
      </c>
      <c r="D178" s="51" t="s">
        <v>265</v>
      </c>
      <c r="E178" s="86" t="s">
        <v>266</v>
      </c>
      <c r="F178" s="84"/>
      <c r="G178" s="8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39" customHeight="1" x14ac:dyDescent="0.2">
      <c r="A179" s="1"/>
      <c r="B179" s="52" t="s">
        <v>187</v>
      </c>
      <c r="C179" s="80" t="s">
        <v>516</v>
      </c>
      <c r="D179" s="63" t="s">
        <v>517</v>
      </c>
      <c r="E179" s="83" t="s">
        <v>518</v>
      </c>
      <c r="F179" s="84"/>
      <c r="G179" s="85"/>
      <c r="H179" s="58" t="s">
        <v>298</v>
      </c>
      <c r="I179" s="58" t="s">
        <v>519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39" customHeight="1" x14ac:dyDescent="0.2">
      <c r="A180" s="1"/>
      <c r="B180" s="52"/>
      <c r="C180" s="80" t="s">
        <v>520</v>
      </c>
      <c r="D180" s="63" t="s">
        <v>521</v>
      </c>
      <c r="E180" s="83" t="s">
        <v>522</v>
      </c>
      <c r="F180" s="84"/>
      <c r="G180" s="8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39" customHeight="1" x14ac:dyDescent="0.2">
      <c r="A181" s="1"/>
      <c r="B181" s="52"/>
      <c r="C181" s="80" t="s">
        <v>523</v>
      </c>
      <c r="D181" s="63" t="s">
        <v>524</v>
      </c>
      <c r="E181" s="83" t="s">
        <v>525</v>
      </c>
      <c r="F181" s="84"/>
      <c r="G181" s="8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2.5" customHeight="1" x14ac:dyDescent="0.2">
      <c r="A182" s="1"/>
      <c r="B182" s="52"/>
      <c r="C182" s="80" t="s">
        <v>477</v>
      </c>
      <c r="D182" s="63" t="s">
        <v>267</v>
      </c>
      <c r="E182" s="83" t="s">
        <v>526</v>
      </c>
      <c r="F182" s="84"/>
      <c r="G182" s="8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39" customHeight="1" x14ac:dyDescent="0.2">
      <c r="A183" s="1"/>
      <c r="B183" s="52"/>
      <c r="C183" s="80" t="s">
        <v>527</v>
      </c>
      <c r="D183" s="63" t="s">
        <v>528</v>
      </c>
      <c r="E183" s="83" t="s">
        <v>529</v>
      </c>
      <c r="F183" s="84"/>
      <c r="G183" s="8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39" customHeight="1" x14ac:dyDescent="0.2">
      <c r="A184" s="1"/>
      <c r="B184" s="52"/>
      <c r="C184" s="80" t="s">
        <v>530</v>
      </c>
      <c r="D184" s="63" t="s">
        <v>268</v>
      </c>
      <c r="E184" s="83" t="s">
        <v>531</v>
      </c>
      <c r="F184" s="84"/>
      <c r="G184" s="8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39" customHeight="1" x14ac:dyDescent="0.2">
      <c r="A185" s="1"/>
      <c r="B185" s="52"/>
      <c r="C185" s="80" t="s">
        <v>532</v>
      </c>
      <c r="D185" s="63" t="s">
        <v>533</v>
      </c>
      <c r="E185" s="83" t="s">
        <v>534</v>
      </c>
      <c r="F185" s="84"/>
      <c r="G185" s="8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39" customHeight="1" x14ac:dyDescent="0.2">
      <c r="A186" s="1"/>
      <c r="B186" s="52"/>
      <c r="C186" s="80" t="s">
        <v>535</v>
      </c>
      <c r="D186" s="63" t="s">
        <v>536</v>
      </c>
      <c r="E186" s="83" t="s">
        <v>537</v>
      </c>
      <c r="F186" s="84"/>
      <c r="G186" s="8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39" customHeight="1" x14ac:dyDescent="0.2">
      <c r="A187" s="1"/>
      <c r="B187" s="52"/>
      <c r="C187" s="80" t="s">
        <v>538</v>
      </c>
      <c r="D187" s="63" t="s">
        <v>539</v>
      </c>
      <c r="E187" s="83" t="s">
        <v>540</v>
      </c>
      <c r="F187" s="84"/>
      <c r="G187" s="8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2.5" customHeight="1" x14ac:dyDescent="0.2">
      <c r="A188" s="1"/>
      <c r="B188" s="52"/>
      <c r="C188" s="80" t="s">
        <v>541</v>
      </c>
      <c r="D188" s="63" t="s">
        <v>542</v>
      </c>
      <c r="E188" s="83" t="s">
        <v>543</v>
      </c>
      <c r="F188" s="84"/>
      <c r="G188" s="8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2.5" customHeight="1" x14ac:dyDescent="0.2">
      <c r="A189" s="1"/>
      <c r="B189" s="52"/>
      <c r="C189" s="80" t="s">
        <v>544</v>
      </c>
      <c r="D189" s="63" t="s">
        <v>545</v>
      </c>
      <c r="E189" s="83" t="s">
        <v>546</v>
      </c>
      <c r="F189" s="84"/>
      <c r="G189" s="8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2.5" customHeight="1" x14ac:dyDescent="0.2">
      <c r="A190" s="1"/>
      <c r="B190" s="53"/>
      <c r="C190" s="80" t="s">
        <v>547</v>
      </c>
      <c r="D190" s="63" t="s">
        <v>269</v>
      </c>
      <c r="E190" s="83" t="s">
        <v>548</v>
      </c>
      <c r="F190" s="84"/>
      <c r="G190" s="8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39" customHeight="1" x14ac:dyDescent="0.2">
      <c r="A191" s="1"/>
      <c r="B191" s="53"/>
      <c r="C191" s="80" t="s">
        <v>549</v>
      </c>
      <c r="D191" s="63" t="s">
        <v>550</v>
      </c>
      <c r="E191" s="83" t="s">
        <v>551</v>
      </c>
      <c r="F191" s="84"/>
      <c r="G191" s="8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2.5" customHeight="1" x14ac:dyDescent="0.2">
      <c r="A192" s="1"/>
      <c r="B192" s="53"/>
      <c r="C192" s="80" t="s">
        <v>552</v>
      </c>
      <c r="D192" s="63" t="s">
        <v>553</v>
      </c>
      <c r="E192" s="83" t="s">
        <v>554</v>
      </c>
      <c r="F192" s="84"/>
      <c r="G192" s="8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2.5" customHeight="1" x14ac:dyDescent="0.2">
      <c r="A193" s="1"/>
      <c r="B193" s="53"/>
      <c r="C193" s="80" t="s">
        <v>555</v>
      </c>
      <c r="D193" s="63" t="s">
        <v>556</v>
      </c>
      <c r="E193" s="83" t="s">
        <v>557</v>
      </c>
      <c r="F193" s="84"/>
      <c r="G193" s="8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" x14ac:dyDescent="0.2">
      <c r="A194" s="1"/>
      <c r="B194" s="52" t="s">
        <v>172</v>
      </c>
      <c r="C194" s="50" t="s">
        <v>270</v>
      </c>
      <c r="D194" s="51" t="s">
        <v>271</v>
      </c>
      <c r="E194" s="86" t="s">
        <v>272</v>
      </c>
      <c r="F194" s="84"/>
      <c r="G194" s="8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" x14ac:dyDescent="0.2">
      <c r="A195" s="1"/>
      <c r="B195" s="52"/>
      <c r="C195" s="50" t="s">
        <v>174</v>
      </c>
      <c r="D195" s="51" t="s">
        <v>273</v>
      </c>
      <c r="E195" s="86" t="s">
        <v>274</v>
      </c>
      <c r="F195" s="84"/>
      <c r="G195" s="8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" x14ac:dyDescent="0.2">
      <c r="A196" s="1"/>
      <c r="B196" s="52"/>
      <c r="C196" s="50" t="s">
        <v>275</v>
      </c>
      <c r="D196" s="51" t="s">
        <v>276</v>
      </c>
      <c r="E196" s="86" t="s">
        <v>277</v>
      </c>
      <c r="F196" s="84"/>
      <c r="G196" s="8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" x14ac:dyDescent="0.2">
      <c r="A197" s="1"/>
      <c r="B197" s="52"/>
      <c r="C197" s="50" t="s">
        <v>278</v>
      </c>
      <c r="D197" s="51" t="s">
        <v>279</v>
      </c>
      <c r="E197" s="86" t="s">
        <v>280</v>
      </c>
      <c r="F197" s="84"/>
      <c r="G197" s="8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" x14ac:dyDescent="0.2">
      <c r="A198" s="1"/>
      <c r="B198" s="52"/>
      <c r="C198" s="50" t="s">
        <v>281</v>
      </c>
      <c r="D198" s="51" t="s">
        <v>282</v>
      </c>
      <c r="E198" s="86" t="s">
        <v>283</v>
      </c>
      <c r="F198" s="84"/>
      <c r="G198" s="8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" x14ac:dyDescent="0.2">
      <c r="A199" s="1"/>
      <c r="B199" s="52"/>
      <c r="C199" s="50" t="s">
        <v>284</v>
      </c>
      <c r="D199" s="51" t="s">
        <v>285</v>
      </c>
      <c r="E199" s="86" t="s">
        <v>286</v>
      </c>
      <c r="F199" s="84"/>
      <c r="G199" s="8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" x14ac:dyDescent="0.2">
      <c r="A200" s="1"/>
      <c r="B200" s="53"/>
      <c r="C200" s="50" t="s">
        <v>59</v>
      </c>
      <c r="D200" s="51" t="s">
        <v>204</v>
      </c>
      <c r="E200" s="86" t="s">
        <v>287</v>
      </c>
      <c r="F200" s="84"/>
      <c r="G200" s="8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</sheetData>
  <mergeCells count="90"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70:G170"/>
    <mergeCell ref="E167:G167"/>
    <mergeCell ref="E168:G168"/>
    <mergeCell ref="E169:G169"/>
    <mergeCell ref="E165:G165"/>
    <mergeCell ref="E166:G166"/>
    <mergeCell ref="E179:G179"/>
    <mergeCell ref="E180:G180"/>
    <mergeCell ref="E171:G171"/>
    <mergeCell ref="E172:G172"/>
    <mergeCell ref="E173:G173"/>
    <mergeCell ref="E174:G174"/>
    <mergeCell ref="E175:G175"/>
    <mergeCell ref="E199:G199"/>
    <mergeCell ref="E200:G200"/>
    <mergeCell ref="E189:G189"/>
    <mergeCell ref="E190:G190"/>
    <mergeCell ref="E194:G194"/>
    <mergeCell ref="E195:G195"/>
    <mergeCell ref="E196:G196"/>
    <mergeCell ref="E197:G197"/>
    <mergeCell ref="E198:G198"/>
    <mergeCell ref="B2:D2"/>
    <mergeCell ref="C5:G5"/>
    <mergeCell ref="C6:G6"/>
    <mergeCell ref="C7:G7"/>
    <mergeCell ref="C8:G8"/>
    <mergeCell ref="C9:G9"/>
    <mergeCell ref="C10:G10"/>
    <mergeCell ref="B26:C26"/>
    <mergeCell ref="D26:G26"/>
    <mergeCell ref="D20:G20"/>
    <mergeCell ref="B21:C21"/>
    <mergeCell ref="D21:G21"/>
    <mergeCell ref="D22:G22"/>
    <mergeCell ref="D23:G23"/>
    <mergeCell ref="D24:G24"/>
    <mergeCell ref="D25:G25"/>
    <mergeCell ref="C11:G11"/>
    <mergeCell ref="C12:G12"/>
    <mergeCell ref="C13:G13"/>
    <mergeCell ref="D16:G16"/>
    <mergeCell ref="D17:G17"/>
    <mergeCell ref="E140:G140"/>
    <mergeCell ref="D18:G18"/>
    <mergeCell ref="D19:G19"/>
    <mergeCell ref="E134:G134"/>
    <mergeCell ref="E135:G135"/>
    <mergeCell ref="E137:G137"/>
    <mergeCell ref="E136:G136"/>
    <mergeCell ref="E151:G151"/>
    <mergeCell ref="E152:G152"/>
    <mergeCell ref="E155:G155"/>
    <mergeCell ref="E146:G146"/>
    <mergeCell ref="E147:G147"/>
    <mergeCell ref="E148:G148"/>
    <mergeCell ref="E149:G149"/>
    <mergeCell ref="E150:G150"/>
    <mergeCell ref="E141:G141"/>
    <mergeCell ref="E142:G142"/>
    <mergeCell ref="E143:G143"/>
    <mergeCell ref="E144:G144"/>
    <mergeCell ref="E145:G145"/>
    <mergeCell ref="E138:G138"/>
    <mergeCell ref="E139:G139"/>
    <mergeCell ref="E153:G153"/>
    <mergeCell ref="E154:G154"/>
    <mergeCell ref="E191:G191"/>
    <mergeCell ref="E192:G192"/>
    <mergeCell ref="E193:G193"/>
    <mergeCell ref="E186:G186"/>
    <mergeCell ref="E187:G187"/>
    <mergeCell ref="E188:G188"/>
    <mergeCell ref="E181:G181"/>
    <mergeCell ref="E182:G182"/>
    <mergeCell ref="E183:G183"/>
    <mergeCell ref="E184:G184"/>
    <mergeCell ref="E185:G185"/>
    <mergeCell ref="E176:G176"/>
    <mergeCell ref="E177:G177"/>
    <mergeCell ref="E178:G178"/>
  </mergeCells>
  <dataValidations count="1">
    <dataValidation type="list" allowBlank="1" showInputMessage="1" showErrorMessage="1" sqref="H5:H400" xr:uid="{00000000-0002-0000-0000-000000000000}">
      <formula1>"High,Mid,Low"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0" width="25.83203125" customWidth="1"/>
    <col min="11" max="11" width="73.6640625" customWidth="1"/>
    <col min="12" max="16" width="25.83203125" customWidth="1"/>
    <col min="17" max="18" width="35.83203125" customWidth="1"/>
    <col min="19" max="19" width="25.83203125" customWidth="1"/>
    <col min="20" max="26" width="8.6640625" customWidth="1"/>
  </cols>
  <sheetData>
    <row r="1" spans="1:26" ht="24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x14ac:dyDescent="0.2">
      <c r="A3" s="6" t="s">
        <v>5</v>
      </c>
      <c r="B3" s="88" t="s">
        <v>558</v>
      </c>
      <c r="C3" s="84"/>
      <c r="D3" s="8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2">
      <c r="A4" s="6" t="s">
        <v>7</v>
      </c>
      <c r="B4" s="88" t="s">
        <v>324</v>
      </c>
      <c r="C4" s="84"/>
      <c r="D4" s="8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" x14ac:dyDescent="0.2">
      <c r="A5" s="6" t="s">
        <v>8</v>
      </c>
      <c r="B5" s="88" t="s">
        <v>559</v>
      </c>
      <c r="C5" s="84"/>
      <c r="D5" s="8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" x14ac:dyDescent="0.2">
      <c r="A6" s="10" t="s">
        <v>9</v>
      </c>
      <c r="B6" s="13" t="s">
        <v>11</v>
      </c>
      <c r="C6" s="13" t="s">
        <v>11</v>
      </c>
      <c r="D6" s="13" t="s">
        <v>11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6" x14ac:dyDescent="0.2">
      <c r="A7" s="6" t="s">
        <v>14</v>
      </c>
      <c r="B7" s="110" t="s">
        <v>11</v>
      </c>
      <c r="C7" s="84"/>
      <c r="D7" s="8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18"/>
      <c r="B8" s="18"/>
      <c r="C8" s="18"/>
      <c r="D8" s="1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2">
      <c r="A9" s="19" t="s">
        <v>16</v>
      </c>
      <c r="B9" s="73" t="s">
        <v>23</v>
      </c>
      <c r="C9" s="73" t="s">
        <v>355</v>
      </c>
      <c r="D9" s="73" t="s">
        <v>358</v>
      </c>
      <c r="E9" s="73" t="s">
        <v>362</v>
      </c>
      <c r="F9" s="73" t="s">
        <v>365</v>
      </c>
      <c r="G9" s="73" t="s">
        <v>27</v>
      </c>
      <c r="H9" s="73" t="s">
        <v>28</v>
      </c>
      <c r="I9" s="73" t="s">
        <v>31</v>
      </c>
      <c r="J9" s="73" t="s">
        <v>32</v>
      </c>
      <c r="K9" s="73" t="s">
        <v>33</v>
      </c>
      <c r="L9" s="73" t="s">
        <v>34</v>
      </c>
      <c r="M9" s="73" t="s">
        <v>36</v>
      </c>
      <c r="N9" s="73" t="s">
        <v>37</v>
      </c>
      <c r="O9" s="73" t="s">
        <v>38</v>
      </c>
      <c r="P9" s="73" t="s">
        <v>40</v>
      </c>
      <c r="Q9" s="73" t="s">
        <v>42</v>
      </c>
      <c r="R9" s="73" t="s">
        <v>43</v>
      </c>
      <c r="S9" s="73" t="s">
        <v>379</v>
      </c>
      <c r="T9" s="16"/>
      <c r="U9" s="16"/>
      <c r="V9" s="16"/>
      <c r="W9" s="16"/>
      <c r="X9" s="16"/>
      <c r="Y9" s="16"/>
      <c r="Z9" s="16"/>
    </row>
    <row r="10" spans="1:26" ht="15" customHeight="1" x14ac:dyDescent="0.2">
      <c r="A10" s="74" t="s">
        <v>350</v>
      </c>
      <c r="B10" s="74" t="s">
        <v>353</v>
      </c>
      <c r="C10" s="74" t="s">
        <v>114</v>
      </c>
      <c r="D10" s="74" t="s">
        <v>360</v>
      </c>
      <c r="E10" s="74" t="s">
        <v>115</v>
      </c>
      <c r="F10" s="74" t="s">
        <v>360</v>
      </c>
      <c r="G10" s="74" t="s">
        <v>117</v>
      </c>
      <c r="H10" s="74" t="s">
        <v>121</v>
      </c>
      <c r="I10" s="74" t="s">
        <v>124</v>
      </c>
      <c r="J10" s="74" t="s">
        <v>368</v>
      </c>
      <c r="K10" s="74" t="s">
        <v>128</v>
      </c>
      <c r="L10" s="74" t="s">
        <v>49</v>
      </c>
      <c r="M10" s="74" t="s">
        <v>373</v>
      </c>
      <c r="N10" s="74" t="s">
        <v>50</v>
      </c>
      <c r="O10" s="74" t="s">
        <v>51</v>
      </c>
      <c r="P10" s="74" t="s">
        <v>134</v>
      </c>
      <c r="Q10" s="74" t="s">
        <v>54</v>
      </c>
      <c r="R10" s="74" t="s">
        <v>139</v>
      </c>
      <c r="S10" s="74" t="s">
        <v>382</v>
      </c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75"/>
      <c r="L11" s="22"/>
      <c r="M11" s="75"/>
      <c r="N11" s="75" t="s">
        <v>55</v>
      </c>
      <c r="O11" s="75" t="s">
        <v>56</v>
      </c>
      <c r="P11" s="75" t="s">
        <v>208</v>
      </c>
      <c r="Q11" s="75" t="s">
        <v>57</v>
      </c>
      <c r="R11" s="75" t="s">
        <v>223</v>
      </c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75"/>
      <c r="L12" s="22"/>
      <c r="M12" s="75"/>
      <c r="N12" s="75" t="s">
        <v>63</v>
      </c>
      <c r="O12" s="75" t="s">
        <v>487</v>
      </c>
      <c r="P12" s="75" t="s">
        <v>211</v>
      </c>
      <c r="Q12" s="75" t="s">
        <v>60</v>
      </c>
      <c r="R12" s="75" t="s">
        <v>226</v>
      </c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75"/>
      <c r="N13" s="75" t="s">
        <v>59</v>
      </c>
      <c r="O13" s="75"/>
      <c r="P13" s="22"/>
      <c r="Q13" s="75" t="s">
        <v>61</v>
      </c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75"/>
      <c r="N14" s="22"/>
      <c r="O14" s="75"/>
      <c r="P14" s="22"/>
      <c r="Q14" s="75" t="s">
        <v>63</v>
      </c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75"/>
      <c r="P15" s="22"/>
      <c r="Q15" s="75" t="s">
        <v>59</v>
      </c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74" t="s">
        <v>391</v>
      </c>
      <c r="B16" s="74" t="s">
        <v>438</v>
      </c>
      <c r="C16" s="74" t="s">
        <v>114</v>
      </c>
      <c r="D16" s="74" t="s">
        <v>360</v>
      </c>
      <c r="E16" s="74" t="s">
        <v>115</v>
      </c>
      <c r="F16" s="74" t="s">
        <v>360</v>
      </c>
      <c r="G16" s="74" t="s">
        <v>117</v>
      </c>
      <c r="H16" s="74" t="s">
        <v>121</v>
      </c>
      <c r="I16" s="74" t="s">
        <v>124</v>
      </c>
      <c r="J16" s="74" t="s">
        <v>368</v>
      </c>
      <c r="K16" s="74" t="s">
        <v>128</v>
      </c>
      <c r="L16" s="74" t="s">
        <v>360</v>
      </c>
      <c r="M16" s="74" t="s">
        <v>360</v>
      </c>
      <c r="N16" s="74" t="s">
        <v>360</v>
      </c>
      <c r="O16" s="74" t="s">
        <v>56</v>
      </c>
      <c r="P16" s="74" t="s">
        <v>134</v>
      </c>
      <c r="Q16" s="74" t="s">
        <v>59</v>
      </c>
      <c r="R16" s="74" t="s">
        <v>226</v>
      </c>
      <c r="S16" s="74" t="s">
        <v>382</v>
      </c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74" t="s">
        <v>560</v>
      </c>
      <c r="B17" s="74" t="s">
        <v>561</v>
      </c>
      <c r="C17" s="74" t="s">
        <v>114</v>
      </c>
      <c r="D17" s="74" t="s">
        <v>360</v>
      </c>
      <c r="E17" s="74" t="s">
        <v>115</v>
      </c>
      <c r="F17" s="74" t="s">
        <v>360</v>
      </c>
      <c r="G17" s="74" t="s">
        <v>117</v>
      </c>
      <c r="H17" s="74" t="s">
        <v>121</v>
      </c>
      <c r="I17" s="74" t="s">
        <v>124</v>
      </c>
      <c r="J17" s="74" t="s">
        <v>368</v>
      </c>
      <c r="K17" s="74" t="s">
        <v>128</v>
      </c>
      <c r="L17" s="74" t="s">
        <v>360</v>
      </c>
      <c r="M17" s="74" t="s">
        <v>360</v>
      </c>
      <c r="N17" s="74" t="s">
        <v>360</v>
      </c>
      <c r="O17" s="74" t="s">
        <v>487</v>
      </c>
      <c r="P17" s="74" t="s">
        <v>134</v>
      </c>
      <c r="Q17" s="74" t="s">
        <v>59</v>
      </c>
      <c r="R17" s="74" t="s">
        <v>226</v>
      </c>
      <c r="S17" s="74" t="s">
        <v>382</v>
      </c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:D3"/>
    <mergeCell ref="B4:D4"/>
    <mergeCell ref="B5:D5"/>
    <mergeCell ref="B7:D7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8" width="25.83203125" customWidth="1"/>
  </cols>
  <sheetData>
    <row r="1" spans="1:26" ht="24" customHeight="1" x14ac:dyDescent="0.2">
      <c r="A1" s="77" t="s">
        <v>328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x14ac:dyDescent="0.2">
      <c r="A3" s="79" t="s">
        <v>5</v>
      </c>
      <c r="B3" s="88" t="s">
        <v>562</v>
      </c>
      <c r="C3" s="84"/>
      <c r="D3" s="8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" x14ac:dyDescent="0.2">
      <c r="A4" s="79" t="s">
        <v>7</v>
      </c>
      <c r="B4" s="88" t="s">
        <v>563</v>
      </c>
      <c r="C4" s="84"/>
      <c r="D4" s="8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" x14ac:dyDescent="0.2">
      <c r="A5" s="79" t="s">
        <v>8</v>
      </c>
      <c r="B5" s="88" t="s">
        <v>564</v>
      </c>
      <c r="C5" s="84"/>
      <c r="D5" s="8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" x14ac:dyDescent="0.2">
      <c r="A6" s="79" t="s">
        <v>9</v>
      </c>
      <c r="B6" s="62" t="s">
        <v>11</v>
      </c>
      <c r="C6" s="62" t="s">
        <v>11</v>
      </c>
      <c r="D6" s="78" t="s">
        <v>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" x14ac:dyDescent="0.2">
      <c r="A7" s="79" t="s">
        <v>14</v>
      </c>
      <c r="B7" s="88" t="s">
        <v>565</v>
      </c>
      <c r="C7" s="84"/>
      <c r="D7" s="8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2">
      <c r="A9" s="73" t="s">
        <v>384</v>
      </c>
      <c r="B9" s="73" t="s">
        <v>389</v>
      </c>
      <c r="C9" s="73" t="s">
        <v>392</v>
      </c>
      <c r="D9" s="73" t="s">
        <v>395</v>
      </c>
      <c r="E9" s="73" t="s">
        <v>400</v>
      </c>
      <c r="F9" s="73" t="s">
        <v>362</v>
      </c>
      <c r="G9" s="73" t="s">
        <v>365</v>
      </c>
      <c r="H9" s="73" t="s">
        <v>379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75" t="s">
        <v>387</v>
      </c>
      <c r="B10" s="75" t="s">
        <v>391</v>
      </c>
      <c r="C10" s="75" t="s">
        <v>394</v>
      </c>
      <c r="D10" s="75" t="s">
        <v>398</v>
      </c>
      <c r="E10" s="75" t="s">
        <v>402</v>
      </c>
      <c r="F10" s="75" t="s">
        <v>404</v>
      </c>
      <c r="G10" s="75" t="s">
        <v>360</v>
      </c>
      <c r="H10" s="75" t="s">
        <v>407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:D3"/>
    <mergeCell ref="B4:D4"/>
    <mergeCell ref="B5:D5"/>
    <mergeCell ref="B7:D7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2" width="25.83203125" customWidth="1"/>
    <col min="13" max="26" width="8.6640625" customWidth="1"/>
  </cols>
  <sheetData>
    <row r="1" spans="1:26" ht="24" customHeight="1" x14ac:dyDescent="0.2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x14ac:dyDescent="0.2">
      <c r="A3" s="6" t="s">
        <v>5</v>
      </c>
      <c r="B3" s="88" t="s">
        <v>566</v>
      </c>
      <c r="C3" s="84"/>
      <c r="D3" s="8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" x14ac:dyDescent="0.2">
      <c r="A4" s="6" t="s">
        <v>7</v>
      </c>
      <c r="B4" s="88" t="s">
        <v>333</v>
      </c>
      <c r="C4" s="84"/>
      <c r="D4" s="8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" x14ac:dyDescent="0.2">
      <c r="A5" s="6" t="s">
        <v>8</v>
      </c>
      <c r="B5" s="88" t="s">
        <v>334</v>
      </c>
      <c r="C5" s="84"/>
      <c r="D5" s="8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" x14ac:dyDescent="0.2">
      <c r="A6" s="6" t="s">
        <v>9</v>
      </c>
      <c r="B6" s="12" t="s">
        <v>11</v>
      </c>
      <c r="C6" s="12" t="s">
        <v>11</v>
      </c>
      <c r="D6" s="12" t="s">
        <v>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" x14ac:dyDescent="0.2">
      <c r="A7" s="6" t="s">
        <v>14</v>
      </c>
      <c r="B7" s="110" t="s">
        <v>11</v>
      </c>
      <c r="C7" s="84"/>
      <c r="D7" s="8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30" customHeight="1" x14ac:dyDescent="0.2">
      <c r="A9" s="19" t="s">
        <v>16</v>
      </c>
      <c r="B9" s="73" t="s">
        <v>18</v>
      </c>
      <c r="C9" s="73" t="s">
        <v>362</v>
      </c>
      <c r="D9" s="73" t="s">
        <v>365</v>
      </c>
      <c r="E9" s="73" t="s">
        <v>379</v>
      </c>
      <c r="F9" s="73" t="s">
        <v>19</v>
      </c>
      <c r="G9" s="73" t="s">
        <v>20</v>
      </c>
      <c r="H9" s="73" t="s">
        <v>21</v>
      </c>
      <c r="I9" s="73" t="s">
        <v>22</v>
      </c>
      <c r="J9" s="73" t="s">
        <v>23</v>
      </c>
      <c r="K9" s="73" t="s">
        <v>229</v>
      </c>
      <c r="L9" s="73" t="s">
        <v>24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" customHeight="1" x14ac:dyDescent="0.2">
      <c r="A10" s="75" t="s">
        <v>410</v>
      </c>
      <c r="B10" s="75" t="s">
        <v>141</v>
      </c>
      <c r="C10" s="75" t="s">
        <v>142</v>
      </c>
      <c r="D10" s="75" t="s">
        <v>360</v>
      </c>
      <c r="E10" s="75" t="s">
        <v>419</v>
      </c>
      <c r="F10" s="75" t="s">
        <v>144</v>
      </c>
      <c r="G10" s="75">
        <v>8</v>
      </c>
      <c r="H10" s="75" t="s">
        <v>151</v>
      </c>
      <c r="I10" s="75" t="s">
        <v>155</v>
      </c>
      <c r="J10" s="75" t="s">
        <v>353</v>
      </c>
      <c r="K10" s="75" t="s">
        <v>39</v>
      </c>
      <c r="L10" s="75">
        <v>1254.3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 x14ac:dyDescent="0.2">
      <c r="A11" s="75" t="s">
        <v>567</v>
      </c>
      <c r="B11" s="75" t="s">
        <v>141</v>
      </c>
      <c r="C11" s="75" t="s">
        <v>142</v>
      </c>
      <c r="D11" s="75" t="s">
        <v>360</v>
      </c>
      <c r="E11" s="75" t="s">
        <v>419</v>
      </c>
      <c r="F11" s="75" t="s">
        <v>144</v>
      </c>
      <c r="G11" s="75">
        <v>8</v>
      </c>
      <c r="H11" s="75" t="s">
        <v>151</v>
      </c>
      <c r="I11" s="75" t="s">
        <v>155</v>
      </c>
      <c r="J11" s="75" t="s">
        <v>353</v>
      </c>
      <c r="K11" s="75" t="s">
        <v>44</v>
      </c>
      <c r="L11" s="75">
        <v>980.4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 customHeight="1" x14ac:dyDescent="0.2">
      <c r="A12" s="75" t="s">
        <v>568</v>
      </c>
      <c r="B12" s="75" t="s">
        <v>141</v>
      </c>
      <c r="C12" s="75" t="s">
        <v>142</v>
      </c>
      <c r="D12" s="75" t="s">
        <v>360</v>
      </c>
      <c r="E12" s="75" t="s">
        <v>419</v>
      </c>
      <c r="F12" s="75" t="s">
        <v>144</v>
      </c>
      <c r="G12" s="75">
        <v>8</v>
      </c>
      <c r="H12" s="75" t="s">
        <v>151</v>
      </c>
      <c r="I12" s="75" t="s">
        <v>155</v>
      </c>
      <c r="J12" s="75" t="s">
        <v>353</v>
      </c>
      <c r="K12" s="75" t="s">
        <v>45</v>
      </c>
      <c r="L12" s="75">
        <v>210.6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2">
      <c r="A13" s="75" t="s">
        <v>569</v>
      </c>
      <c r="B13" s="75" t="s">
        <v>141</v>
      </c>
      <c r="C13" s="75" t="s">
        <v>142</v>
      </c>
      <c r="D13" s="75" t="s">
        <v>360</v>
      </c>
      <c r="E13" s="75" t="s">
        <v>419</v>
      </c>
      <c r="F13" s="75" t="s">
        <v>144</v>
      </c>
      <c r="G13" s="75">
        <v>8</v>
      </c>
      <c r="H13" s="75" t="s">
        <v>151</v>
      </c>
      <c r="I13" s="75" t="s">
        <v>155</v>
      </c>
      <c r="J13" s="75" t="s">
        <v>353</v>
      </c>
      <c r="K13" s="75" t="s">
        <v>41</v>
      </c>
      <c r="L13" s="75">
        <v>48.1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2">
      <c r="A14" s="75" t="s">
        <v>570</v>
      </c>
      <c r="B14" s="75" t="s">
        <v>141</v>
      </c>
      <c r="C14" s="75" t="s">
        <v>142</v>
      </c>
      <c r="D14" s="75" t="s">
        <v>360</v>
      </c>
      <c r="E14" s="75" t="s">
        <v>419</v>
      </c>
      <c r="F14" s="75" t="s">
        <v>144</v>
      </c>
      <c r="G14" s="75">
        <v>8</v>
      </c>
      <c r="H14" s="75" t="s">
        <v>151</v>
      </c>
      <c r="I14" s="75" t="s">
        <v>155</v>
      </c>
      <c r="J14" s="75" t="s">
        <v>353</v>
      </c>
      <c r="K14" s="75" t="s">
        <v>48</v>
      </c>
      <c r="L14" s="75">
        <v>15.2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:D3"/>
    <mergeCell ref="B4:D4"/>
    <mergeCell ref="B5:D5"/>
    <mergeCell ref="B7:D7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6" width="25.83203125" customWidth="1"/>
  </cols>
  <sheetData>
    <row r="1" spans="1:26" ht="24" customHeight="1" x14ac:dyDescent="0.2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x14ac:dyDescent="0.2">
      <c r="A3" s="6" t="s">
        <v>5</v>
      </c>
      <c r="B3" s="110" t="s">
        <v>6</v>
      </c>
      <c r="C3" s="84"/>
      <c r="D3" s="8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" x14ac:dyDescent="0.2">
      <c r="A4" s="6" t="s">
        <v>7</v>
      </c>
      <c r="B4" s="110" t="s">
        <v>12</v>
      </c>
      <c r="C4" s="84"/>
      <c r="D4" s="8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" x14ac:dyDescent="0.2">
      <c r="A5" s="6" t="s">
        <v>8</v>
      </c>
      <c r="B5" s="88" t="s">
        <v>338</v>
      </c>
      <c r="C5" s="84"/>
      <c r="D5" s="8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" x14ac:dyDescent="0.2">
      <c r="A6" s="6" t="s">
        <v>9</v>
      </c>
      <c r="B6" s="12" t="s">
        <v>11</v>
      </c>
      <c r="C6" s="12" t="s">
        <v>11</v>
      </c>
      <c r="D6" s="12" t="s">
        <v>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" x14ac:dyDescent="0.2">
      <c r="A7" s="6" t="s">
        <v>14</v>
      </c>
      <c r="B7" s="110" t="s">
        <v>11</v>
      </c>
      <c r="C7" s="84"/>
      <c r="D7" s="8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17"/>
      <c r="B8" s="17"/>
      <c r="C8" s="17"/>
      <c r="D8" s="21"/>
      <c r="E8" s="21"/>
      <c r="F8" s="21"/>
      <c r="G8" s="21"/>
      <c r="H8" s="21"/>
      <c r="I8" s="21"/>
      <c r="J8" s="21"/>
      <c r="K8" s="21"/>
      <c r="L8" s="21"/>
      <c r="M8" s="2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2">
      <c r="A9" s="19" t="s">
        <v>16</v>
      </c>
      <c r="B9" s="73" t="s">
        <v>18</v>
      </c>
      <c r="C9" s="73" t="s">
        <v>362</v>
      </c>
      <c r="D9" s="73" t="s">
        <v>365</v>
      </c>
      <c r="E9" s="73" t="s">
        <v>379</v>
      </c>
      <c r="F9" s="73" t="s">
        <v>19</v>
      </c>
      <c r="G9" s="73" t="s">
        <v>29</v>
      </c>
      <c r="H9" s="73" t="s">
        <v>30</v>
      </c>
      <c r="I9" s="73" t="s">
        <v>21</v>
      </c>
      <c r="J9" s="73" t="s">
        <v>22</v>
      </c>
      <c r="K9" s="73" t="s">
        <v>23</v>
      </c>
      <c r="L9" s="73" t="s">
        <v>440</v>
      </c>
      <c r="M9" s="73" t="s">
        <v>446</v>
      </c>
      <c r="N9" s="73" t="s">
        <v>451</v>
      </c>
      <c r="O9" s="73" t="s">
        <v>229</v>
      </c>
      <c r="P9" s="73" t="s">
        <v>35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75" t="s">
        <v>430</v>
      </c>
      <c r="B10" s="75" t="s">
        <v>141</v>
      </c>
      <c r="C10" s="75" t="s">
        <v>142</v>
      </c>
      <c r="D10" s="75" t="s">
        <v>360</v>
      </c>
      <c r="E10" s="75" t="s">
        <v>419</v>
      </c>
      <c r="F10" s="75" t="s">
        <v>144</v>
      </c>
      <c r="G10" s="75">
        <v>8</v>
      </c>
      <c r="H10" s="75" t="s">
        <v>69</v>
      </c>
      <c r="I10" s="75" t="s">
        <v>151</v>
      </c>
      <c r="J10" s="75" t="s">
        <v>155</v>
      </c>
      <c r="K10" s="75" t="s">
        <v>438</v>
      </c>
      <c r="L10" s="75" t="s">
        <v>444</v>
      </c>
      <c r="M10" s="75" t="s">
        <v>449</v>
      </c>
      <c r="N10" s="75" t="s">
        <v>454</v>
      </c>
      <c r="O10" s="75" t="s">
        <v>39</v>
      </c>
      <c r="P10" s="75">
        <v>326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22"/>
      <c r="B11" s="22"/>
      <c r="C11" s="22"/>
      <c r="D11" s="22"/>
      <c r="E11" s="22"/>
      <c r="F11" s="22"/>
      <c r="G11" s="75"/>
      <c r="H11" s="75" t="s">
        <v>67</v>
      </c>
      <c r="I11" s="22"/>
      <c r="J11" s="22"/>
      <c r="K11" s="75"/>
      <c r="L11" s="75"/>
      <c r="M11" s="75" t="s">
        <v>571</v>
      </c>
      <c r="N11" s="5"/>
      <c r="O11" s="75" t="s">
        <v>44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22"/>
      <c r="B12" s="22"/>
      <c r="C12" s="22"/>
      <c r="D12" s="22"/>
      <c r="E12" s="22"/>
      <c r="F12" s="22"/>
      <c r="G12" s="75"/>
      <c r="H12" s="75" t="s">
        <v>71</v>
      </c>
      <c r="I12" s="22"/>
      <c r="J12" s="22"/>
      <c r="K12" s="75"/>
      <c r="L12" s="75"/>
      <c r="M12" s="22"/>
      <c r="N12" s="5"/>
      <c r="O12" s="75" t="s">
        <v>45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22"/>
      <c r="B13" s="22"/>
      <c r="C13" s="22"/>
      <c r="D13" s="22"/>
      <c r="E13" s="22"/>
      <c r="F13" s="22"/>
      <c r="G13" s="75"/>
      <c r="H13" s="75" t="s">
        <v>72</v>
      </c>
      <c r="I13" s="22"/>
      <c r="J13" s="22"/>
      <c r="K13" s="22"/>
      <c r="L13" s="75"/>
      <c r="M13" s="22"/>
      <c r="N13" s="5"/>
      <c r="O13" s="75" t="s">
        <v>41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22"/>
      <c r="B14" s="22"/>
      <c r="C14" s="22"/>
      <c r="D14" s="22"/>
      <c r="E14" s="22"/>
      <c r="F14" s="22"/>
      <c r="G14" s="75"/>
      <c r="H14" s="75" t="s">
        <v>497</v>
      </c>
      <c r="I14" s="22"/>
      <c r="J14" s="22"/>
      <c r="K14" s="22"/>
      <c r="L14" s="75"/>
      <c r="M14" s="22"/>
      <c r="N14" s="5"/>
      <c r="O14" s="75" t="s">
        <v>48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22"/>
      <c r="B15" s="22"/>
      <c r="C15" s="22"/>
      <c r="D15" s="22"/>
      <c r="E15" s="22"/>
      <c r="F15" s="75"/>
      <c r="G15" s="75"/>
      <c r="H15" s="75" t="s">
        <v>501</v>
      </c>
      <c r="I15" s="22"/>
      <c r="J15" s="22"/>
      <c r="K15" s="22"/>
      <c r="L15" s="22"/>
      <c r="M15" s="2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22"/>
      <c r="B16" s="22"/>
      <c r="C16" s="22"/>
      <c r="D16" s="22"/>
      <c r="E16" s="22"/>
      <c r="F16" s="22"/>
      <c r="G16" s="75"/>
      <c r="H16" s="75" t="s">
        <v>504</v>
      </c>
      <c r="I16" s="22"/>
      <c r="J16" s="22"/>
      <c r="K16" s="22"/>
      <c r="L16" s="22"/>
      <c r="M16" s="22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22"/>
      <c r="B17" s="22"/>
      <c r="C17" s="22"/>
      <c r="D17" s="22"/>
      <c r="E17" s="22"/>
      <c r="F17" s="22"/>
      <c r="G17" s="75"/>
      <c r="H17" s="22"/>
      <c r="I17" s="22"/>
      <c r="J17" s="22"/>
      <c r="K17" s="22"/>
      <c r="L17" s="22"/>
      <c r="M17" s="2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22"/>
      <c r="B18" s="22"/>
      <c r="C18" s="22"/>
      <c r="D18" s="22"/>
      <c r="E18" s="22"/>
      <c r="F18" s="23"/>
      <c r="G18" s="75"/>
      <c r="H18" s="22"/>
      <c r="I18" s="22"/>
      <c r="J18" s="22"/>
      <c r="K18" s="22"/>
      <c r="L18" s="22"/>
      <c r="M18" s="2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22"/>
      <c r="B19" s="22"/>
      <c r="C19" s="22"/>
      <c r="D19" s="22"/>
      <c r="E19" s="22"/>
      <c r="F19" s="22"/>
      <c r="G19" s="75"/>
      <c r="H19" s="22"/>
      <c r="I19" s="22"/>
      <c r="J19" s="22"/>
      <c r="K19" s="22"/>
      <c r="L19" s="22"/>
      <c r="M19" s="2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:D3"/>
    <mergeCell ref="B4:D4"/>
    <mergeCell ref="B5:D5"/>
    <mergeCell ref="B7:D7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showGridLines="0" workbookViewId="0"/>
  </sheetViews>
  <sheetFormatPr baseColWidth="10" defaultColWidth="14.5" defaultRowHeight="15" customHeight="1" x14ac:dyDescent="0.2"/>
  <cols>
    <col min="1" max="11" width="25.83203125" customWidth="1"/>
    <col min="12" max="12" width="31.5" customWidth="1"/>
    <col min="13" max="16" width="25.83203125" customWidth="1"/>
    <col min="17" max="30" width="8.6640625" customWidth="1"/>
  </cols>
  <sheetData>
    <row r="1" spans="1:30" ht="24" customHeight="1" x14ac:dyDescent="0.2">
      <c r="A1" s="2" t="s">
        <v>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6" x14ac:dyDescent="0.2">
      <c r="A3" s="6" t="s">
        <v>5</v>
      </c>
      <c r="B3" s="110" t="s">
        <v>288</v>
      </c>
      <c r="C3" s="84"/>
      <c r="D3" s="8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6" x14ac:dyDescent="0.2">
      <c r="A4" s="6" t="s">
        <v>7</v>
      </c>
      <c r="B4" s="110" t="s">
        <v>289</v>
      </c>
      <c r="C4" s="84"/>
      <c r="D4" s="8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6" x14ac:dyDescent="0.2">
      <c r="A5" s="6" t="s">
        <v>8</v>
      </c>
      <c r="B5" s="88" t="s">
        <v>341</v>
      </c>
      <c r="C5" s="84"/>
      <c r="D5" s="8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7" x14ac:dyDescent="0.2">
      <c r="A6" s="6" t="s">
        <v>9</v>
      </c>
      <c r="B6" s="12" t="s">
        <v>11</v>
      </c>
      <c r="C6" s="12" t="s">
        <v>11</v>
      </c>
      <c r="D6" s="12" t="s">
        <v>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6" x14ac:dyDescent="0.2">
      <c r="A7" s="6" t="s">
        <v>14</v>
      </c>
      <c r="B7" s="110" t="s">
        <v>11</v>
      </c>
      <c r="C7" s="84"/>
      <c r="D7" s="8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30" customHeight="1" x14ac:dyDescent="0.2">
      <c r="A9" s="19" t="s">
        <v>16</v>
      </c>
      <c r="B9" s="73" t="s">
        <v>18</v>
      </c>
      <c r="C9" s="73" t="s">
        <v>362</v>
      </c>
      <c r="D9" s="73" t="s">
        <v>365</v>
      </c>
      <c r="E9" s="73" t="s">
        <v>379</v>
      </c>
      <c r="F9" s="73" t="s">
        <v>19</v>
      </c>
      <c r="G9" s="73" t="s">
        <v>20</v>
      </c>
      <c r="H9" s="73" t="s">
        <v>21</v>
      </c>
      <c r="I9" s="73" t="s">
        <v>22</v>
      </c>
      <c r="J9" s="73" t="s">
        <v>23</v>
      </c>
      <c r="K9" s="73" t="s">
        <v>169</v>
      </c>
      <c r="L9" s="73" t="s">
        <v>172</v>
      </c>
      <c r="M9" s="73" t="s">
        <v>440</v>
      </c>
      <c r="N9" s="73" t="s">
        <v>446</v>
      </c>
      <c r="O9" s="73" t="s">
        <v>451</v>
      </c>
      <c r="P9" s="73" t="s">
        <v>471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ht="15.75" customHeight="1" x14ac:dyDescent="0.2">
      <c r="A10" s="76" t="s">
        <v>459</v>
      </c>
      <c r="B10" s="76" t="s">
        <v>165</v>
      </c>
      <c r="C10" s="76" t="s">
        <v>142</v>
      </c>
      <c r="D10" s="76" t="s">
        <v>360</v>
      </c>
      <c r="E10" s="76" t="s">
        <v>419</v>
      </c>
      <c r="F10" s="76" t="s">
        <v>144</v>
      </c>
      <c r="G10" s="76">
        <v>20</v>
      </c>
      <c r="H10" s="76" t="s">
        <v>151</v>
      </c>
      <c r="I10" s="76" t="s">
        <v>155</v>
      </c>
      <c r="J10" s="76" t="s">
        <v>353</v>
      </c>
      <c r="K10" s="76" t="s">
        <v>171</v>
      </c>
      <c r="L10" s="76" t="s">
        <v>275</v>
      </c>
      <c r="M10" s="76" t="s">
        <v>444</v>
      </c>
      <c r="N10" s="76" t="s">
        <v>449</v>
      </c>
      <c r="O10" s="76" t="s">
        <v>454</v>
      </c>
      <c r="P10" s="76">
        <v>2410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5.75" customHeight="1" x14ac:dyDescent="0.2"/>
    <row r="222" spans="1:30" ht="15.75" customHeight="1" x14ac:dyDescent="0.2"/>
    <row r="223" spans="1:30" ht="15.75" customHeight="1" x14ac:dyDescent="0.2"/>
    <row r="224" spans="1:3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:D3"/>
    <mergeCell ref="B4:D4"/>
    <mergeCell ref="B5:D5"/>
    <mergeCell ref="B7:D7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3" width="25.83203125" customWidth="1"/>
    <col min="14" max="14" width="45" customWidth="1"/>
  </cols>
  <sheetData>
    <row r="1" spans="1:26" ht="24" customHeight="1" x14ac:dyDescent="0.2">
      <c r="A1" s="77" t="s">
        <v>96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" x14ac:dyDescent="0.2">
      <c r="A3" s="6" t="s">
        <v>5</v>
      </c>
      <c r="B3" s="88" t="s">
        <v>572</v>
      </c>
      <c r="C3" s="84"/>
      <c r="D3" s="8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" x14ac:dyDescent="0.2">
      <c r="A4" s="6" t="s">
        <v>7</v>
      </c>
      <c r="B4" s="88" t="s">
        <v>573</v>
      </c>
      <c r="C4" s="84"/>
      <c r="D4" s="8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" x14ac:dyDescent="0.2">
      <c r="A5" s="6" t="s">
        <v>8</v>
      </c>
      <c r="B5" s="110" t="s">
        <v>290</v>
      </c>
      <c r="C5" s="84"/>
      <c r="D5" s="8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" x14ac:dyDescent="0.2">
      <c r="A6" s="6" t="s">
        <v>9</v>
      </c>
      <c r="B6" s="8" t="s">
        <v>11</v>
      </c>
      <c r="C6" s="8" t="s">
        <v>11</v>
      </c>
      <c r="D6" s="12" t="s">
        <v>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" x14ac:dyDescent="0.2">
      <c r="A7" s="6" t="s">
        <v>14</v>
      </c>
      <c r="B7" s="110" t="s">
        <v>11</v>
      </c>
      <c r="C7" s="84"/>
      <c r="D7" s="8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2">
      <c r="A9" s="73" t="s">
        <v>16</v>
      </c>
      <c r="B9" s="73" t="s">
        <v>18</v>
      </c>
      <c r="C9" s="73" t="s">
        <v>362</v>
      </c>
      <c r="D9" s="73" t="s">
        <v>365</v>
      </c>
      <c r="E9" s="73" t="s">
        <v>379</v>
      </c>
      <c r="F9" s="73" t="s">
        <v>19</v>
      </c>
      <c r="G9" s="73" t="s">
        <v>20</v>
      </c>
      <c r="H9" s="73" t="s">
        <v>21</v>
      </c>
      <c r="I9" s="73" t="s">
        <v>22</v>
      </c>
      <c r="J9" s="73" t="s">
        <v>23</v>
      </c>
      <c r="K9" s="73" t="s">
        <v>184</v>
      </c>
      <c r="L9" s="73" t="s">
        <v>187</v>
      </c>
      <c r="M9" s="73" t="s">
        <v>189</v>
      </c>
      <c r="N9" s="73" t="s">
        <v>191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75" t="s">
        <v>475</v>
      </c>
      <c r="B10" s="75" t="s">
        <v>177</v>
      </c>
      <c r="C10" s="75" t="s">
        <v>142</v>
      </c>
      <c r="D10" s="75" t="s">
        <v>360</v>
      </c>
      <c r="E10" s="75" t="s">
        <v>419</v>
      </c>
      <c r="F10" s="75" t="s">
        <v>144</v>
      </c>
      <c r="G10" s="75" t="s">
        <v>180</v>
      </c>
      <c r="H10" s="75" t="s">
        <v>151</v>
      </c>
      <c r="I10" s="75" t="s">
        <v>155</v>
      </c>
      <c r="J10" s="75" t="s">
        <v>353</v>
      </c>
      <c r="K10" s="75" t="s">
        <v>267</v>
      </c>
      <c r="L10" s="75" t="s">
        <v>477</v>
      </c>
      <c r="M10" s="75">
        <v>0.15</v>
      </c>
      <c r="N10" s="75" t="s">
        <v>479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:D3"/>
    <mergeCell ref="B4:D4"/>
    <mergeCell ref="B5:D5"/>
    <mergeCell ref="B7:D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</vt:lpstr>
      <vt:lpstr>FT_LIST_ZONE</vt:lpstr>
      <vt:lpstr>ZONE_LINEAGE_MASTER</vt:lpstr>
      <vt:lpstr>FT_PRESENCE_HOURLY</vt:lpstr>
      <vt:lpstr>FT_DWELL_DAILY</vt:lpstr>
      <vt:lpstr>FT_MOVEMENT_OD_DAILY</vt:lpstr>
      <vt:lpstr>FT_METRICS_DAILY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KC YUGESH</cp:lastModifiedBy>
  <dcterms:created xsi:type="dcterms:W3CDTF">2026-09-09T06:41:52Z</dcterms:created>
  <dcterms:modified xsi:type="dcterms:W3CDTF">2026-10-21T04:39:10Z</dcterms:modified>
</cp:coreProperties>
</file>